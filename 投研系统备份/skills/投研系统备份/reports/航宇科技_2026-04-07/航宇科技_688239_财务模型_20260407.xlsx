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业务拆分" sheetId="2" state="visible" r:id="rId2"/>
    <sheet xmlns:r="http://schemas.openxmlformats.org/officeDocument/2006/relationships" name="模型假设" sheetId="3" state="visible" r:id="rId3"/>
    <sheet xmlns:r="http://schemas.openxmlformats.org/officeDocument/2006/relationships" name="利润表" sheetId="4" state="visible" r:id="rId4"/>
    <sheet xmlns:r="http://schemas.openxmlformats.org/officeDocument/2006/relationships" name="资产负债表" sheetId="5" state="visible" r:id="rId5"/>
    <sheet xmlns:r="http://schemas.openxmlformats.org/officeDocument/2006/relationships" name="现金流量表" sheetId="6" state="visible" r:id="rId6"/>
    <sheet xmlns:r="http://schemas.openxmlformats.org/officeDocument/2006/relationships" name="利润表_季度" sheetId="7" state="visible" r:id="rId7"/>
    <sheet xmlns:r="http://schemas.openxmlformats.org/officeDocument/2006/relationships" name="基本面研究" sheetId="8" state="visible" r:id="rId8"/>
    <sheet xmlns:r="http://schemas.openxmlformats.org/officeDocument/2006/relationships" name="估值分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  <font>
      <color rgb="00000000"/>
    </font>
    <font>
      <b val="1"/>
      <color rgb="000000FF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航宇科技（688239.SH）— 财务研究模型</t>
        </is>
      </c>
    </row>
    <row r="2">
      <c r="A2" t="inlineStr">
        <is>
          <t>数据来源：iFind/研究报告/分析师预测 | 单位：亿元人民币 | 截至：2026-04-07</t>
        </is>
      </c>
    </row>
    <row r="4">
      <c r="A4" t="inlineStr">
        <is>
          <t>▌ 公司概况</t>
        </is>
      </c>
    </row>
    <row r="5">
      <c r="A5" t="inlineStr">
        <is>
          <t>股票代码</t>
        </is>
      </c>
      <c r="B5" t="inlineStr">
        <is>
          <t>688239.SH</t>
        </is>
      </c>
    </row>
    <row r="6">
      <c r="A6" t="inlineStr">
        <is>
          <t>行业</t>
        </is>
      </c>
      <c r="B6" t="inlineStr">
        <is>
          <t>国防军工/航空锻造</t>
        </is>
      </c>
    </row>
    <row r="7">
      <c r="A7" t="inlineStr">
        <is>
          <t>主营业务</t>
        </is>
      </c>
      <c r="B7" t="inlineStr">
        <is>
          <t>航空难变形金属材料环形锻件</t>
        </is>
      </c>
    </row>
    <row r="8">
      <c r="A8" t="inlineStr">
        <is>
          <t>总股本</t>
        </is>
      </c>
      <c r="B8" t="inlineStr">
        <is>
          <t>1.90亿股</t>
        </is>
      </c>
    </row>
    <row r="9">
      <c r="A9" t="inlineStr">
        <is>
          <t>当前股价</t>
        </is>
      </c>
      <c r="B9" t="inlineStr">
        <is>
          <t>54.14元</t>
        </is>
      </c>
    </row>
    <row r="10">
      <c r="A10" t="inlineStr">
        <is>
          <t>总市值</t>
        </is>
      </c>
      <c r="B10" t="inlineStr">
        <is>
          <t>103亿元</t>
        </is>
      </c>
    </row>
    <row r="12">
      <c r="A12" t="inlineStr">
        <is>
          <t>▌ 历史财务概要</t>
        </is>
      </c>
    </row>
    <row r="13">
      <c r="A13" s="2" t="inlineStr">
        <is>
          <t>指标</t>
        </is>
      </c>
      <c r="B13" s="2" t="inlineStr">
        <is>
          <t>2020A</t>
        </is>
      </c>
      <c r="C13" s="2" t="inlineStr">
        <is>
          <t>2021A</t>
        </is>
      </c>
      <c r="D13" s="2" t="inlineStr">
        <is>
          <t>2022A</t>
        </is>
      </c>
      <c r="E13" s="2" t="inlineStr">
        <is>
          <t>2023A</t>
        </is>
      </c>
      <c r="F13" s="2" t="inlineStr">
        <is>
          <t>2024A</t>
        </is>
      </c>
      <c r="G13" s="2" t="inlineStr">
        <is>
          <t>2025A</t>
        </is>
      </c>
    </row>
    <row r="14">
      <c r="A14" t="inlineStr">
        <is>
          <t>营业收入</t>
        </is>
      </c>
      <c r="B14">
        <f>利润表!B4</f>
        <v/>
      </c>
      <c r="C14">
        <f>利润表!C4</f>
        <v/>
      </c>
      <c r="D14">
        <f>利润表!D4</f>
        <v/>
      </c>
      <c r="E14">
        <f>利润表!E4</f>
        <v/>
      </c>
      <c r="F14">
        <f>利润表!F4</f>
        <v/>
      </c>
      <c r="G14">
        <f>利润表!G4</f>
        <v/>
      </c>
    </row>
    <row r="15">
      <c r="A15" t="inlineStr">
        <is>
          <t>YoY增速</t>
        </is>
      </c>
      <c r="B15">
        <f>利润表!B5</f>
        <v/>
      </c>
      <c r="C15">
        <f>利润表!C5</f>
        <v/>
      </c>
      <c r="D15">
        <f>利润表!D5</f>
        <v/>
      </c>
      <c r="E15">
        <f>利润表!E5</f>
        <v/>
      </c>
      <c r="F15">
        <f>利润表!F5</f>
        <v/>
      </c>
      <c r="G15">
        <f>利润表!G5</f>
        <v/>
      </c>
    </row>
    <row r="16">
      <c r="A16" t="inlineStr">
        <is>
          <t>毛利润</t>
        </is>
      </c>
      <c r="B16">
        <f>利润表!B7</f>
        <v/>
      </c>
      <c r="C16">
        <f>利润表!C7</f>
        <v/>
      </c>
      <c r="D16">
        <f>利润表!D7</f>
        <v/>
      </c>
      <c r="E16">
        <f>利润表!E7</f>
        <v/>
      </c>
      <c r="F16">
        <f>利润表!F7</f>
        <v/>
      </c>
      <c r="G16">
        <f>利润表!G7</f>
        <v/>
      </c>
    </row>
    <row r="17">
      <c r="A17" t="inlineStr">
        <is>
          <t>毛利率</t>
        </is>
      </c>
      <c r="B17">
        <f>利润表!B8</f>
        <v/>
      </c>
      <c r="C17">
        <f>利润表!C8</f>
        <v/>
      </c>
      <c r="D17">
        <f>利润表!D8</f>
        <v/>
      </c>
      <c r="E17">
        <f>利润表!E8</f>
        <v/>
      </c>
      <c r="F17">
        <f>利润表!F8</f>
        <v/>
      </c>
      <c r="G17">
        <f>利润表!G8</f>
        <v/>
      </c>
    </row>
    <row r="18">
      <c r="A18" t="inlineStr">
        <is>
          <t>归母净利润</t>
        </is>
      </c>
      <c r="B18">
        <f>利润表!B22</f>
        <v/>
      </c>
      <c r="C18">
        <f>利润表!C22</f>
        <v/>
      </c>
      <c r="D18">
        <f>利润表!D22</f>
        <v/>
      </c>
      <c r="E18">
        <f>利润表!E22</f>
        <v/>
      </c>
      <c r="F18">
        <f>利润表!F22</f>
        <v/>
      </c>
      <c r="G18">
        <f>利润表!G22</f>
        <v/>
      </c>
    </row>
    <row r="19">
      <c r="A19" t="inlineStr">
        <is>
          <t>归母净利率</t>
        </is>
      </c>
      <c r="B19">
        <f>利润表!B24</f>
        <v/>
      </c>
      <c r="C19">
        <f>利润表!C24</f>
        <v/>
      </c>
      <c r="D19">
        <f>利润表!D24</f>
        <v/>
      </c>
      <c r="E19">
        <f>利润表!E24</f>
        <v/>
      </c>
      <c r="F19">
        <f>利润表!F24</f>
        <v/>
      </c>
      <c r="G19">
        <f>利润表!G24</f>
        <v/>
      </c>
    </row>
    <row r="20">
      <c r="A20" t="inlineStr">
        <is>
          <t>EPS（元）</t>
        </is>
      </c>
      <c r="B20">
        <f>利润表!B25</f>
        <v/>
      </c>
      <c r="C20">
        <f>利润表!C25</f>
        <v/>
      </c>
      <c r="D20">
        <f>利润表!D25</f>
        <v/>
      </c>
      <c r="E20">
        <f>利润表!E25</f>
        <v/>
      </c>
      <c r="F20">
        <f>利润表!F25</f>
        <v/>
      </c>
      <c r="G20">
        <f>利润表!G25</f>
        <v/>
      </c>
    </row>
    <row r="22">
      <c r="A22" t="inlineStr">
        <is>
          <t>▌ 预测摘要（2026E-2030E）</t>
        </is>
      </c>
    </row>
    <row r="23">
      <c r="A23" s="2" t="inlineStr">
        <is>
          <t>指标</t>
        </is>
      </c>
      <c r="B23" s="2" t="inlineStr">
        <is>
          <t>2026E</t>
        </is>
      </c>
      <c r="C23" s="2" t="inlineStr">
        <is>
          <t>2027E</t>
        </is>
      </c>
      <c r="D23" s="2" t="inlineStr">
        <is>
          <t>2028E</t>
        </is>
      </c>
      <c r="E23" s="2" t="inlineStr">
        <is>
          <t>2029E</t>
        </is>
      </c>
      <c r="F23" s="2" t="inlineStr">
        <is>
          <t>2030E</t>
        </is>
      </c>
    </row>
    <row r="24">
      <c r="A24" t="inlineStr">
        <is>
          <t>营业收入</t>
        </is>
      </c>
      <c r="B24">
        <f>利润表!H4</f>
        <v/>
      </c>
      <c r="C24">
        <f>利润表!I4</f>
        <v/>
      </c>
      <c r="D24">
        <f>利润表!J4</f>
        <v/>
      </c>
      <c r="E24">
        <f>利润表!K4</f>
        <v/>
      </c>
      <c r="F24">
        <f>利润表!L4</f>
        <v/>
      </c>
    </row>
    <row r="25">
      <c r="A25" t="inlineStr">
        <is>
          <t>YoY增速</t>
        </is>
      </c>
      <c r="B25">
        <f>利润表!H5</f>
        <v/>
      </c>
      <c r="C25">
        <f>利润表!I5</f>
        <v/>
      </c>
      <c r="D25">
        <f>利润表!J5</f>
        <v/>
      </c>
      <c r="E25">
        <f>利润表!K5</f>
        <v/>
      </c>
      <c r="F25">
        <f>利润表!L5</f>
        <v/>
      </c>
    </row>
    <row r="26">
      <c r="A26" t="inlineStr">
        <is>
          <t>归母净利润</t>
        </is>
      </c>
      <c r="B26">
        <f>利润表!H22</f>
        <v/>
      </c>
      <c r="C26">
        <f>利润表!I22</f>
        <v/>
      </c>
      <c r="D26">
        <f>利润表!J22</f>
        <v/>
      </c>
      <c r="E26">
        <f>利润表!K22</f>
        <v/>
      </c>
      <c r="F26">
        <f>利润表!L22</f>
        <v/>
      </c>
    </row>
    <row r="27">
      <c r="A27" t="inlineStr">
        <is>
          <t>归母净利YoY</t>
        </is>
      </c>
      <c r="B27">
        <f>利润表!H23</f>
        <v/>
      </c>
      <c r="C27">
        <f>利润表!I23</f>
        <v/>
      </c>
      <c r="D27">
        <f>利润表!J23</f>
        <v/>
      </c>
      <c r="E27">
        <f>利润表!K23</f>
        <v/>
      </c>
      <c r="F27">
        <f>利润表!L23</f>
        <v/>
      </c>
    </row>
    <row r="28">
      <c r="A28" t="inlineStr">
        <is>
          <t>EPS（元）</t>
        </is>
      </c>
      <c r="B28">
        <f>利润表!H25</f>
        <v/>
      </c>
      <c r="C28">
        <f>利润表!I25</f>
        <v/>
      </c>
      <c r="D28">
        <f>利润表!J25</f>
        <v/>
      </c>
      <c r="E28">
        <f>利润表!K25</f>
        <v/>
      </c>
      <c r="F28">
        <f>利润表!L25</f>
        <v/>
      </c>
    </row>
    <row r="29">
      <c r="A29" t="inlineStr">
        <is>
          <t>PE（x）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</row>
    <row r="31">
      <c r="A31" t="inlineStr">
        <is>
          <t>▌ 质量评分</t>
        </is>
      </c>
    </row>
    <row r="32">
      <c r="A32" t="inlineStr">
        <is>
          <t>综合质量得分</t>
        </is>
      </c>
      <c r="B32">
        <f>基本面研究!D11</f>
        <v/>
      </c>
    </row>
    <row r="33">
      <c r="A33" t="inlineStr">
        <is>
          <t>投资等级</t>
        </is>
      </c>
      <c r="B33" t="inlineStr">
        <is>
          <t>B档（良好）</t>
        </is>
      </c>
    </row>
    <row r="35">
      <c r="A35" t="inlineStr">
        <is>
          <t>▌ 估值结论</t>
        </is>
      </c>
    </row>
    <row r="36">
      <c r="A36" t="inlineStr">
        <is>
          <t>当前PE（TTM）</t>
        </is>
      </c>
      <c r="B36" t="inlineStr">
        <is>
          <t>55.2x</t>
        </is>
      </c>
    </row>
    <row r="37">
      <c r="A37" t="inlineStr">
        <is>
          <t>目标价区间</t>
        </is>
      </c>
      <c r="B37" t="inlineStr">
        <is>
          <t>64-72元</t>
        </is>
      </c>
    </row>
    <row r="38">
      <c r="A38" t="inlineStr">
        <is>
          <t>上行空间</t>
        </is>
      </c>
      <c r="B38" t="inlineStr">
        <is>
          <t>+18%~+33%</t>
        </is>
      </c>
    </row>
    <row r="39">
      <c r="A39" t="inlineStr">
        <is>
          <t>投资评级</t>
        </is>
      </c>
      <c r="B39" t="inlineStr">
        <is>
          <t>中性偏乐观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t="inlineStr">
        <is>
          <t>【业务拆分】航宇科技（688239.SH）— 分部收入与毛利率预测</t>
        </is>
      </c>
    </row>
    <row r="2">
      <c r="A2" t="inlineStr">
        <is>
          <t>单位：亿元人民币 | 蓝色=手动输入假设 | 黑色=公式计算</t>
        </is>
      </c>
      <c r="B2" s="2" t="inlineStr">
        <is>
          <t>2020A</t>
        </is>
      </c>
      <c r="C2" s="2" t="inlineStr">
        <is>
          <t>2021A</t>
        </is>
      </c>
      <c r="D2" s="2" t="inlineStr">
        <is>
          <t>2022A</t>
        </is>
      </c>
      <c r="E2" s="2" t="inlineStr">
        <is>
          <t>2023A</t>
        </is>
      </c>
      <c r="F2" s="2" t="inlineStr">
        <is>
          <t>2024A</t>
        </is>
      </c>
      <c r="G2" s="2" t="inlineStr">
        <is>
          <t>2025A</t>
        </is>
      </c>
      <c r="H2" s="2" t="inlineStr">
        <is>
          <t>2026E</t>
        </is>
      </c>
      <c r="I2" s="2" t="inlineStr">
        <is>
          <t>2027E</t>
        </is>
      </c>
      <c r="J2" s="2" t="inlineStr">
        <is>
          <t>2028E</t>
        </is>
      </c>
      <c r="K2" s="2" t="inlineStr">
        <is>
          <t>2029E</t>
        </is>
      </c>
      <c r="L2" s="2" t="inlineStr">
        <is>
          <t>2030E</t>
        </is>
      </c>
    </row>
    <row r="3">
      <c r="A3" t="inlineStr">
        <is>
          <t>航空锻件（国内） 收入</t>
        </is>
      </c>
      <c r="B3" s="3" t="n">
        <v>0</v>
      </c>
      <c r="C3" s="3" t="n">
        <v>0</v>
      </c>
      <c r="D3" s="3" t="n">
        <v>5.82</v>
      </c>
      <c r="E3" s="3" t="n">
        <v>8.42</v>
      </c>
      <c r="F3" s="3" t="n">
        <v>7.22</v>
      </c>
      <c r="G3" s="3" t="n">
        <v>8.140000000000001</v>
      </c>
      <c r="H3">
        <f>G3*(1+H4)</f>
        <v/>
      </c>
      <c r="I3">
        <f>H3*(1+I4)</f>
        <v/>
      </c>
      <c r="J3">
        <f>I3*(1+J4)</f>
        <v/>
      </c>
      <c r="K3">
        <f>J3*(1+K4)</f>
        <v/>
      </c>
      <c r="L3">
        <f>K3*(1+L4)</f>
        <v/>
      </c>
    </row>
    <row r="4">
      <c r="A4" t="inlineStr">
        <is>
          <t>航空锻件（国内） 增速</t>
        </is>
      </c>
      <c r="E4">
        <f>(E3-D3)/D3</f>
        <v/>
      </c>
      <c r="F4">
        <f>(F3-E3)/E3</f>
        <v/>
      </c>
      <c r="G4">
        <f>(G3-F3)/F3</f>
        <v/>
      </c>
      <c r="H4" s="3" t="n">
        <v>0.08</v>
      </c>
      <c r="I4" s="3" t="n">
        <v>0.12</v>
      </c>
      <c r="J4" s="3" t="n">
        <v>0.15</v>
      </c>
      <c r="K4" s="3" t="n">
        <v>0.12</v>
      </c>
      <c r="L4" s="3" t="n">
        <v>0.1</v>
      </c>
    </row>
    <row r="5">
      <c r="A5" t="inlineStr">
        <is>
          <t>航空锻件（国内） 毛利率</t>
        </is>
      </c>
      <c r="B5" s="3" t="n">
        <v>0</v>
      </c>
      <c r="C5" s="3" t="n">
        <v>0</v>
      </c>
      <c r="D5" s="3" t="n">
        <v>0.28</v>
      </c>
      <c r="E5" s="3" t="n">
        <v>0.272</v>
      </c>
      <c r="F5" s="3" t="n">
        <v>0.275</v>
      </c>
      <c r="G5" s="3" t="n">
        <v>0.278</v>
      </c>
      <c r="H5" s="3" t="n">
        <v>0.28</v>
      </c>
      <c r="I5" s="3" t="n">
        <v>0.282</v>
      </c>
      <c r="J5" s="3" t="n">
        <v>0.285</v>
      </c>
      <c r="K5" s="3" t="n">
        <v>0.285</v>
      </c>
      <c r="L5" s="3" t="n">
        <v>0.285</v>
      </c>
    </row>
    <row r="6">
      <c r="A6" t="inlineStr">
        <is>
          <t>航空锻件（国内） 毛利额</t>
        </is>
      </c>
      <c r="B6">
        <f>B3*B5</f>
        <v/>
      </c>
      <c r="C6">
        <f>C3*C5</f>
        <v/>
      </c>
      <c r="D6">
        <f>D3*D5</f>
        <v/>
      </c>
      <c r="E6">
        <f>E3*E5</f>
        <v/>
      </c>
      <c r="F6">
        <f>F3*F5</f>
        <v/>
      </c>
      <c r="G6">
        <f>G3*G5</f>
        <v/>
      </c>
      <c r="H6">
        <f>H3*H5</f>
        <v/>
      </c>
      <c r="I6">
        <f>I3*I5</f>
        <v/>
      </c>
      <c r="J6">
        <f>J3*J5</f>
        <v/>
      </c>
      <c r="K6">
        <f>K3*K5</f>
        <v/>
      </c>
      <c r="L6">
        <f>L3*L5</f>
        <v/>
      </c>
    </row>
    <row r="7">
      <c r="A7" t="inlineStr">
        <is>
          <t>航空锻件（海外） 收入</t>
        </is>
      </c>
      <c r="B7" s="3" t="n">
        <v>0</v>
      </c>
      <c r="C7" s="3" t="n">
        <v>0</v>
      </c>
      <c r="D7" s="3" t="n">
        <v>5.45</v>
      </c>
      <c r="E7" s="3" t="n">
        <v>8.119999999999999</v>
      </c>
      <c r="F7" s="3" t="n">
        <v>7.22</v>
      </c>
      <c r="G7" s="3" t="n">
        <v>9.109999999999999</v>
      </c>
      <c r="H7">
        <f>G7*(1+H8)</f>
        <v/>
      </c>
      <c r="I7">
        <f>H7*(1+I8)</f>
        <v/>
      </c>
      <c r="J7">
        <f>I7*(1+J8)</f>
        <v/>
      </c>
      <c r="K7">
        <f>J7*(1+K8)</f>
        <v/>
      </c>
      <c r="L7">
        <f>K7*(1+L8)</f>
        <v/>
      </c>
    </row>
    <row r="8">
      <c r="A8" t="inlineStr">
        <is>
          <t>航空锻件（海外） 增速</t>
        </is>
      </c>
      <c r="E8">
        <f>(E7-D7)/D7</f>
        <v/>
      </c>
      <c r="F8">
        <f>(F7-E7)/E7</f>
        <v/>
      </c>
      <c r="G8">
        <f>(G7-F7)/F7</f>
        <v/>
      </c>
      <c r="H8" s="3" t="n">
        <v>0.18</v>
      </c>
      <c r="I8" s="3" t="n">
        <v>0.2</v>
      </c>
      <c r="J8" s="3" t="n">
        <v>0.18</v>
      </c>
      <c r="K8" s="3" t="n">
        <v>0.15</v>
      </c>
      <c r="L8" s="3" t="n">
        <v>0.12</v>
      </c>
    </row>
    <row r="9">
      <c r="A9" t="inlineStr">
        <is>
          <t>航空锻件（海外） 毛利率</t>
        </is>
      </c>
      <c r="B9" s="3" t="n">
        <v>0</v>
      </c>
      <c r="C9" s="3" t="n">
        <v>0</v>
      </c>
      <c r="D9" s="3" t="n">
        <v>0.305</v>
      </c>
      <c r="E9" s="3" t="n">
        <v>0.295</v>
      </c>
      <c r="F9" s="3" t="n">
        <v>0.298</v>
      </c>
      <c r="G9" s="3" t="n">
        <v>0.302</v>
      </c>
      <c r="H9" s="3" t="n">
        <v>0.305</v>
      </c>
      <c r="I9" s="3" t="n">
        <v>0.308</v>
      </c>
      <c r="J9" s="3" t="n">
        <v>0.31</v>
      </c>
      <c r="K9" s="3" t="n">
        <v>0.31</v>
      </c>
      <c r="L9" s="3" t="n">
        <v>0.31</v>
      </c>
    </row>
    <row r="10">
      <c r="A10" t="inlineStr">
        <is>
          <t>航空锻件（海外） 毛利额</t>
        </is>
      </c>
      <c r="B10">
        <f>B7*B9</f>
        <v/>
      </c>
      <c r="C10">
        <f>C7*C9</f>
        <v/>
      </c>
      <c r="D10">
        <f>D7*D9</f>
        <v/>
      </c>
      <c r="E10">
        <f>E7*E9</f>
        <v/>
      </c>
      <c r="F10">
        <f>F7*F9</f>
        <v/>
      </c>
      <c r="G10">
        <f>G7*G9</f>
        <v/>
      </c>
      <c r="H10">
        <f>H7*H9</f>
        <v/>
      </c>
      <c r="I10">
        <f>I7*I9</f>
        <v/>
      </c>
      <c r="J10">
        <f>J7*J9</f>
        <v/>
      </c>
      <c r="K10">
        <f>K7*K9</f>
        <v/>
      </c>
      <c r="L10">
        <f>L7*L9</f>
        <v/>
      </c>
    </row>
    <row r="11">
      <c r="A11" t="inlineStr">
        <is>
          <t>燃气轮机锻件 收入</t>
        </is>
      </c>
      <c r="B11" s="3" t="n">
        <v>0</v>
      </c>
      <c r="C11" s="3" t="n">
        <v>0</v>
      </c>
      <c r="D11" s="3" t="n">
        <v>2.18</v>
      </c>
      <c r="E11" s="3" t="n">
        <v>3.15</v>
      </c>
      <c r="F11" s="3" t="n">
        <v>2.71</v>
      </c>
      <c r="G11" s="3" t="n">
        <v>3.05</v>
      </c>
      <c r="H11">
        <f>G11*(1+H12)</f>
        <v/>
      </c>
      <c r="I11">
        <f>H11*(1+I12)</f>
        <v/>
      </c>
      <c r="J11">
        <f>I11*(1+J12)</f>
        <v/>
      </c>
      <c r="K11">
        <f>J11*(1+K12)</f>
        <v/>
      </c>
      <c r="L11">
        <f>K11*(1+L12)</f>
        <v/>
      </c>
    </row>
    <row r="12">
      <c r="A12" t="inlineStr">
        <is>
          <t>燃气轮机锻件 增速</t>
        </is>
      </c>
      <c r="E12">
        <f>(E11-D11)/D11</f>
        <v/>
      </c>
      <c r="F12">
        <f>(F11-E11)/E11</f>
        <v/>
      </c>
      <c r="G12">
        <f>(G11-F11)/F11</f>
        <v/>
      </c>
      <c r="H12" s="3" t="n">
        <v>0.5</v>
      </c>
      <c r="I12" s="3" t="n">
        <v>0.45</v>
      </c>
      <c r="J12" s="3" t="n">
        <v>0.35</v>
      </c>
      <c r="K12" s="3" t="n">
        <v>0.25</v>
      </c>
      <c r="L12" s="3" t="n">
        <v>0.2</v>
      </c>
    </row>
    <row r="13">
      <c r="A13" t="inlineStr">
        <is>
          <t>燃气轮机锻件 毛利率</t>
        </is>
      </c>
      <c r="B13" s="3" t="n">
        <v>0</v>
      </c>
      <c r="C13" s="3" t="n">
        <v>0</v>
      </c>
      <c r="D13" s="3" t="n">
        <v>0.28</v>
      </c>
      <c r="E13" s="3" t="n">
        <v>0.268</v>
      </c>
      <c r="F13" s="3" t="n">
        <v>0.275</v>
      </c>
      <c r="G13" s="3" t="n">
        <v>0.295</v>
      </c>
      <c r="H13" s="3" t="n">
        <v>0.3</v>
      </c>
      <c r="I13" s="3" t="n">
        <v>0.305</v>
      </c>
      <c r="J13" s="3" t="n">
        <v>0.308</v>
      </c>
      <c r="K13" s="3" t="n">
        <v>0.308</v>
      </c>
      <c r="L13" s="3" t="n">
        <v>0.308</v>
      </c>
    </row>
    <row r="14">
      <c r="A14" t="inlineStr">
        <is>
          <t>燃气轮机锻件 毛利额</t>
        </is>
      </c>
      <c r="B14">
        <f>B11*B13</f>
        <v/>
      </c>
      <c r="C14">
        <f>C11*C13</f>
        <v/>
      </c>
      <c r="D14">
        <f>D11*D13</f>
        <v/>
      </c>
      <c r="E14">
        <f>E11*E13</f>
        <v/>
      </c>
      <c r="F14">
        <f>F11*F13</f>
        <v/>
      </c>
      <c r="G14">
        <f>G11*G13</f>
        <v/>
      </c>
      <c r="H14">
        <f>H11*H13</f>
        <v/>
      </c>
      <c r="I14">
        <f>I11*I13</f>
        <v/>
      </c>
      <c r="J14">
        <f>J11*J13</f>
        <v/>
      </c>
      <c r="K14">
        <f>K11*K13</f>
        <v/>
      </c>
      <c r="L14">
        <f>L11*L13</f>
        <v/>
      </c>
    </row>
    <row r="15">
      <c r="A15" t="inlineStr">
        <is>
          <t>航天锻件 收入</t>
        </is>
      </c>
      <c r="B15" s="3" t="n">
        <v>0</v>
      </c>
      <c r="C15" s="3" t="n">
        <v>0</v>
      </c>
      <c r="D15" s="3" t="n">
        <v>1.1</v>
      </c>
      <c r="E15" s="3" t="n">
        <v>1.35</v>
      </c>
      <c r="F15" s="3" t="n">
        <v>0.9</v>
      </c>
      <c r="G15" s="3" t="n">
        <v>0.85</v>
      </c>
      <c r="H15">
        <f>G15*(1+H16)</f>
        <v/>
      </c>
      <c r="I15">
        <f>H15*(1+I16)</f>
        <v/>
      </c>
      <c r="J15">
        <f>I15*(1+J16)</f>
        <v/>
      </c>
      <c r="K15">
        <f>J15*(1+K16)</f>
        <v/>
      </c>
      <c r="L15">
        <f>K15*(1+L16)</f>
        <v/>
      </c>
    </row>
    <row r="16">
      <c r="A16" t="inlineStr">
        <is>
          <t>航天锻件 增速</t>
        </is>
      </c>
      <c r="E16">
        <f>(E15-D15)/D15</f>
        <v/>
      </c>
      <c r="F16">
        <f>(F15-E15)/E15</f>
        <v/>
      </c>
      <c r="G16">
        <f>(G15-F15)/F15</f>
        <v/>
      </c>
      <c r="H16" s="3" t="n">
        <v>0.2</v>
      </c>
      <c r="I16" s="3" t="n">
        <v>0.25</v>
      </c>
      <c r="J16" s="3" t="n">
        <v>0.25</v>
      </c>
      <c r="K16" s="3" t="n">
        <v>0.2</v>
      </c>
      <c r="L16" s="3" t="n">
        <v>0.15</v>
      </c>
    </row>
    <row r="17">
      <c r="A17" t="inlineStr">
        <is>
          <t>航天锻件 毛利率</t>
        </is>
      </c>
      <c r="B17" s="3" t="n">
        <v>0</v>
      </c>
      <c r="C17" s="3" t="n">
        <v>0</v>
      </c>
      <c r="D17" s="3" t="n">
        <v>0.18</v>
      </c>
      <c r="E17" s="3" t="n">
        <v>0.165</v>
      </c>
      <c r="F17" s="3" t="n">
        <v>0.168</v>
      </c>
      <c r="G17" s="3" t="n">
        <v>0.17</v>
      </c>
      <c r="H17" s="3" t="n">
        <v>0.175</v>
      </c>
      <c r="I17" s="3" t="n">
        <v>0.178</v>
      </c>
      <c r="J17" s="3" t="n">
        <v>0.18</v>
      </c>
      <c r="K17" s="3" t="n">
        <v>0.18</v>
      </c>
      <c r="L17" s="3" t="n">
        <v>0.18</v>
      </c>
    </row>
    <row r="18">
      <c r="A18" t="inlineStr">
        <is>
          <t>航天锻件 毛利额</t>
        </is>
      </c>
      <c r="B18">
        <f>B15*B17</f>
        <v/>
      </c>
      <c r="C18">
        <f>C15*C17</f>
        <v/>
      </c>
      <c r="D18">
        <f>D15*D17</f>
        <v/>
      </c>
      <c r="E18">
        <f>E15*E17</f>
        <v/>
      </c>
      <c r="F18">
        <f>F15*F17</f>
        <v/>
      </c>
      <c r="G18">
        <f>G15*G17</f>
        <v/>
      </c>
      <c r="H18">
        <f>H15*H17</f>
        <v/>
      </c>
      <c r="I18">
        <f>I15*I17</f>
        <v/>
      </c>
      <c r="J18">
        <f>J15*J17</f>
        <v/>
      </c>
      <c r="K18">
        <f>K15*K17</f>
        <v/>
      </c>
      <c r="L18">
        <f>L15*L17</f>
        <v/>
      </c>
    </row>
    <row r="19">
      <c r="A19" t="inlineStr">
        <is>
          <t>汇总：总收入</t>
        </is>
      </c>
      <c r="B19">
        <f>B3+B7+B11+B15</f>
        <v/>
      </c>
      <c r="C19">
        <f>C3+C7+C11+C15</f>
        <v/>
      </c>
      <c r="D19">
        <f>D3+D7+D11+D15</f>
        <v/>
      </c>
      <c r="E19">
        <f>E3+E7+E11+E15</f>
        <v/>
      </c>
      <c r="F19">
        <f>F3+F7+F11+F15</f>
        <v/>
      </c>
      <c r="G19">
        <f>G3+G7+G11+G15</f>
        <v/>
      </c>
      <c r="H19">
        <f>H3+H7+H11+H15</f>
        <v/>
      </c>
      <c r="I19">
        <f>I3+I7+I11+I15</f>
        <v/>
      </c>
      <c r="J19">
        <f>J3+J7+J11+J15</f>
        <v/>
      </c>
      <c r="K19">
        <f>K3+K7+K11+K15</f>
        <v/>
      </c>
      <c r="L19">
        <f>L3+L7+L11+L15</f>
        <v/>
      </c>
    </row>
    <row r="20">
      <c r="A20" t="inlineStr">
        <is>
          <t>汇总：总毛利额</t>
        </is>
      </c>
      <c r="B20">
        <f>B6+B10+B14+B18</f>
        <v/>
      </c>
      <c r="C20">
        <f>C6+C10+C14+C18</f>
        <v/>
      </c>
      <c r="D20">
        <f>D6+D10+D14+D18</f>
        <v/>
      </c>
      <c r="E20">
        <f>E6+E10+E14+E18</f>
        <v/>
      </c>
      <c r="F20">
        <f>F6+F10+F14+F18</f>
        <v/>
      </c>
      <c r="G20">
        <f>G6+G10+G14+G18</f>
        <v/>
      </c>
      <c r="H20">
        <f>H6+H10+H14+H18</f>
        <v/>
      </c>
      <c r="I20">
        <f>I6+I10+I14+I18</f>
        <v/>
      </c>
      <c r="J20">
        <f>J6+J10+J14+J18</f>
        <v/>
      </c>
      <c r="K20">
        <f>K6+K10+K14+K18</f>
        <v/>
      </c>
      <c r="L20">
        <f>L6+L10+L14+L18</f>
        <v/>
      </c>
    </row>
    <row r="21">
      <c r="A21" t="inlineStr">
        <is>
          <t>综合毛利率</t>
        </is>
      </c>
      <c r="B21">
        <f>B20/B19</f>
        <v/>
      </c>
      <c r="C21">
        <f>C20/C19</f>
        <v/>
      </c>
      <c r="D21">
        <f>D20/D19</f>
        <v/>
      </c>
      <c r="E21">
        <f>E20/E19</f>
        <v/>
      </c>
      <c r="F21">
        <f>F20/F19</f>
        <v/>
      </c>
      <c r="G21">
        <f>G20/G19</f>
        <v/>
      </c>
      <c r="H21">
        <f>H20/H19</f>
        <v/>
      </c>
      <c r="I21">
        <f>I20/I19</f>
        <v/>
      </c>
      <c r="J21">
        <f>J20/J19</f>
        <v/>
      </c>
      <c r="K21">
        <f>K20/K19</f>
        <v/>
      </c>
      <c r="L21">
        <f>L20/L19</f>
        <v/>
      </c>
    </row>
    <row r="22">
      <c r="A22" t="inlineStr">
        <is>
          <t>营收增速</t>
        </is>
      </c>
      <c r="C22">
        <f>(C19-B19)/B19</f>
        <v/>
      </c>
      <c r="D22">
        <f>(D19-C19)/C19</f>
        <v/>
      </c>
      <c r="E22">
        <f>(E19-D19)/D19</f>
        <v/>
      </c>
      <c r="F22">
        <f>(F19-E19)/E19</f>
        <v/>
      </c>
      <c r="G22">
        <f>(G19-F19)/F19</f>
        <v/>
      </c>
      <c r="H22">
        <f>(H19-G19)/G19</f>
        <v/>
      </c>
      <c r="I22">
        <f>(I19-H19)/H19</f>
        <v/>
      </c>
      <c r="J22">
        <f>(J19-I19)/I19</f>
        <v/>
      </c>
      <c r="K22">
        <f>(K19-J19)/J19</f>
        <v/>
      </c>
      <c r="L22">
        <f>(L19-K19)/K19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【模型假设】航宇科技（688239.SH）— 可调参数控制中心</t>
        </is>
      </c>
    </row>
    <row r="2">
      <c r="A2" t="inlineStr">
        <is>
          <t>说明：蓝色=手动输入，绿色=业务拆分引用，黑色=公式计算</t>
        </is>
      </c>
    </row>
    <row r="3">
      <c r="A3" t="inlineStr">
        <is>
          <t>假设项目</t>
        </is>
      </c>
      <c r="B3" s="2" t="inlineStr">
        <is>
          <t>2026E</t>
        </is>
      </c>
      <c r="C3" s="2" t="inlineStr">
        <is>
          <t>2027E</t>
        </is>
      </c>
      <c r="D3" s="2" t="inlineStr">
        <is>
          <t>2028E</t>
        </is>
      </c>
      <c r="E3" s="2" t="inlineStr">
        <is>
          <t>2029E</t>
        </is>
      </c>
      <c r="F3" s="2" t="inlineStr">
        <is>
          <t>2030E</t>
        </is>
      </c>
      <c r="G3" t="inlineStr">
        <is>
          <t>来源：iFind/研究报告/分析师预测</t>
        </is>
      </c>
    </row>
    <row r="4">
      <c r="A4" s="2" t="inlineStr">
        <is>
          <t>▌ A. 收入假设</t>
        </is>
      </c>
    </row>
    <row r="5">
      <c r="A5" t="inlineStr">
        <is>
          <t>营收增速</t>
        </is>
      </c>
      <c r="B5" s="4">
        <f>业务拆分!H22</f>
        <v/>
      </c>
      <c r="C5" s="4">
        <f>业务拆分!I22</f>
        <v/>
      </c>
      <c r="D5" s="4">
        <f>业务拆分!J22</f>
        <v/>
      </c>
      <c r="E5" s="4">
        <f>业务拆分!K22</f>
        <v/>
      </c>
      <c r="F5" s="4">
        <f>业务拆分!L22</f>
        <v/>
      </c>
    </row>
    <row r="6">
      <c r="A6" s="2" t="inlineStr">
        <is>
          <t>▌ B. 盈利能力</t>
        </is>
      </c>
    </row>
    <row r="7">
      <c r="A7" t="inlineStr">
        <is>
          <t>综合毛利率</t>
        </is>
      </c>
      <c r="B7" s="4">
        <f>业务拆分!H21</f>
        <v/>
      </c>
      <c r="C7" s="4">
        <f>业务拆分!I21</f>
        <v/>
      </c>
      <c r="D7" s="4">
        <f>业务拆分!J21</f>
        <v/>
      </c>
      <c r="E7" s="4">
        <f>业务拆分!K21</f>
        <v/>
      </c>
      <c r="F7" s="4">
        <f>业务拆分!L21</f>
        <v/>
      </c>
    </row>
    <row r="8">
      <c r="A8" t="inlineStr">
        <is>
          <t>销售费用率</t>
        </is>
      </c>
      <c r="B8" s="3" t="n">
        <v>0.025</v>
      </c>
      <c r="C8" s="3" t="n">
        <v>0.024</v>
      </c>
      <c r="D8" s="3" t="n">
        <v>0.023</v>
      </c>
      <c r="E8" s="3" t="n">
        <v>0.022</v>
      </c>
      <c r="F8" s="3" t="n">
        <v>0.022</v>
      </c>
    </row>
    <row r="9">
      <c r="A9" t="inlineStr">
        <is>
          <t>管理费用率</t>
        </is>
      </c>
      <c r="B9" s="3" t="n">
        <v>0.065</v>
      </c>
      <c r="C9" s="3" t="n">
        <v>0.063</v>
      </c>
      <c r="D9" s="3" t="n">
        <v>0.06</v>
      </c>
      <c r="E9" s="3" t="n">
        <v>0.058</v>
      </c>
      <c r="F9" s="3" t="n">
        <v>0.055</v>
      </c>
    </row>
    <row r="10">
      <c r="A10" t="inlineStr">
        <is>
          <t>研发费用率</t>
        </is>
      </c>
      <c r="B10" s="3" t="n">
        <v>0.062</v>
      </c>
      <c r="C10" s="3" t="n">
        <v>0.06</v>
      </c>
      <c r="D10" s="3" t="n">
        <v>0.058</v>
      </c>
      <c r="E10" s="3" t="n">
        <v>0.055</v>
      </c>
      <c r="F10" s="3" t="n">
        <v>0.052</v>
      </c>
    </row>
    <row r="11">
      <c r="A11" t="inlineStr">
        <is>
          <t>净财务收入（亿）</t>
        </is>
      </c>
      <c r="B11" s="3" t="n">
        <v>-0.08</v>
      </c>
      <c r="C11" s="3" t="n">
        <v>-0.1</v>
      </c>
      <c r="D11" s="3" t="n">
        <v>-0.12</v>
      </c>
      <c r="E11" s="3" t="n">
        <v>-0.12</v>
      </c>
      <c r="F11" s="3" t="n">
        <v>-0.1</v>
      </c>
    </row>
    <row r="12">
      <c r="A12" t="inlineStr">
        <is>
          <t>有效税率</t>
        </is>
      </c>
      <c r="B12" s="3" t="n">
        <v>0.135</v>
      </c>
      <c r="C12" s="3" t="n">
        <v>0.13</v>
      </c>
      <c r="D12" s="3" t="n">
        <v>0.128</v>
      </c>
      <c r="E12" s="3" t="n">
        <v>0.125</v>
      </c>
      <c r="F12" s="3" t="n">
        <v>0.125</v>
      </c>
    </row>
    <row r="13">
      <c r="A13" t="inlineStr">
        <is>
          <t>归母/合并净利润比例</t>
        </is>
      </c>
      <c r="B13" s="3" t="n">
        <v>0.92</v>
      </c>
      <c r="C13" s="3" t="n">
        <v>0.93</v>
      </c>
      <c r="D13" s="3" t="n">
        <v>0.93</v>
      </c>
      <c r="E13" s="3" t="n">
        <v>0.93</v>
      </c>
      <c r="F13" s="3" t="n">
        <v>0.93</v>
      </c>
    </row>
    <row r="14">
      <c r="A14" s="2" t="inlineStr">
        <is>
          <t>▌ C. 资本开支 &amp; 折旧摊销</t>
        </is>
      </c>
    </row>
    <row r="15">
      <c r="A15" t="inlineStr">
        <is>
          <t>D&amp;A 折旧摊销（亿）</t>
        </is>
      </c>
      <c r="B15" s="3" t="n">
        <v>1.85</v>
      </c>
      <c r="C15" s="3" t="n">
        <v>2.05</v>
      </c>
      <c r="D15" s="3" t="n">
        <v>2.25</v>
      </c>
      <c r="E15" s="3" t="n">
        <v>2.45</v>
      </c>
      <c r="F15" s="3" t="n">
        <v>2.65</v>
      </c>
    </row>
    <row r="16">
      <c r="A16" t="inlineStr">
        <is>
          <t>资本开支 Capex（亿）</t>
        </is>
      </c>
      <c r="B16" s="3" t="n">
        <v>4.8</v>
      </c>
      <c r="C16" s="3" t="n">
        <v>5.2</v>
      </c>
      <c r="D16" s="3" t="n">
        <v>5.5</v>
      </c>
      <c r="E16" s="3" t="n">
        <v>5.8</v>
      </c>
      <c r="F16" s="3" t="n">
        <v>6</v>
      </c>
    </row>
    <row r="17">
      <c r="A17" s="2" t="inlineStr">
        <is>
          <t>▌ D. 营运资本</t>
        </is>
      </c>
    </row>
    <row r="18">
      <c r="A18" t="inlineStr">
        <is>
          <t>应收账款天数</t>
        </is>
      </c>
      <c r="B18" s="3" t="n">
        <v>145</v>
      </c>
      <c r="C18" s="3" t="n">
        <v>140</v>
      </c>
      <c r="D18" s="3" t="n">
        <v>135</v>
      </c>
      <c r="E18" s="3" t="n">
        <v>130</v>
      </c>
      <c r="F18" s="3" t="n">
        <v>128</v>
      </c>
    </row>
    <row r="19">
      <c r="A19" t="inlineStr">
        <is>
          <t>存货周转天数</t>
        </is>
      </c>
      <c r="B19" s="3" t="n">
        <v>155</v>
      </c>
      <c r="C19" s="3" t="n">
        <v>150</v>
      </c>
      <c r="D19" s="3" t="n">
        <v>148</v>
      </c>
      <c r="E19" s="3" t="n">
        <v>145</v>
      </c>
      <c r="F19" s="3" t="n">
        <v>142</v>
      </c>
    </row>
    <row r="20">
      <c r="A20" t="inlineStr">
        <is>
          <t>应付账款天数</t>
        </is>
      </c>
      <c r="B20" s="3" t="n">
        <v>145</v>
      </c>
      <c r="C20" s="3" t="n">
        <v>142</v>
      </c>
      <c r="D20" s="3" t="n">
        <v>140</v>
      </c>
      <c r="E20" s="3" t="n">
        <v>138</v>
      </c>
      <c r="F20" s="3" t="n">
        <v>135</v>
      </c>
    </row>
    <row r="21">
      <c r="A21" s="2" t="inlineStr">
        <is>
          <t>▌ E. 资本结构</t>
        </is>
      </c>
    </row>
    <row r="22">
      <c r="A22" t="inlineStr">
        <is>
          <t>股息支付率</t>
        </is>
      </c>
      <c r="B22" s="3" t="n">
        <v>0.15</v>
      </c>
      <c r="C22" s="3" t="n">
        <v>0.15</v>
      </c>
      <c r="D22" s="3" t="n">
        <v>0.15</v>
      </c>
      <c r="E22" s="3" t="n">
        <v>0.18</v>
      </c>
      <c r="F22" s="3" t="n">
        <v>0.2</v>
      </c>
    </row>
    <row r="23">
      <c r="A23" s="2" t="inlineStr">
        <is>
          <t>▌ F. 估值参数</t>
        </is>
      </c>
    </row>
    <row r="24">
      <c r="A24" t="inlineStr">
        <is>
          <t>WACC (%)</t>
        </is>
      </c>
      <c r="B24" s="3" t="n">
        <v>0.08500000000000001</v>
      </c>
      <c r="C24" s="3" t="n">
        <v>0.08500000000000001</v>
      </c>
      <c r="D24" s="3" t="n">
        <v>0.08500000000000001</v>
      </c>
      <c r="E24" s="3" t="n">
        <v>0.08500000000000001</v>
      </c>
      <c r="F24" s="3" t="n">
        <v>0.08500000000000001</v>
      </c>
    </row>
    <row r="26">
      <c r="A26" t="inlineStr">
        <is>
          <t>总股本（亿股）</t>
        </is>
      </c>
      <c r="B26" s="3" t="n">
        <v>1.9</v>
      </c>
      <c r="C26" s="3" t="n">
        <v>1.9</v>
      </c>
      <c r="D26" s="3" t="n">
        <v>1.9</v>
      </c>
      <c r="E26" s="3" t="n">
        <v>1.9</v>
      </c>
      <c r="F26" s="3" t="n">
        <v>1.9</v>
      </c>
    </row>
    <row r="27">
      <c r="A27" t="inlineStr">
        <is>
          <t>当前股价（元）</t>
        </is>
      </c>
      <c r="B27" s="3" t="n">
        <v>54.14</v>
      </c>
      <c r="C27" s="3" t="n">
        <v>54.14</v>
      </c>
      <c r="D27" s="3" t="n">
        <v>54.14</v>
      </c>
      <c r="E27" s="3" t="n">
        <v>54.14</v>
      </c>
      <c r="F27" s="3" t="n">
        <v>54.14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t="inlineStr">
        <is>
          <t>【利润表】航宇科技（688239.SH）</t>
        </is>
      </c>
    </row>
    <row r="2">
      <c r="A2" t="inlineStr">
        <is>
          <t>单位：亿元人民币</t>
        </is>
      </c>
    </row>
    <row r="3">
      <c r="A3" t="inlineStr">
        <is>
          <t>科目</t>
        </is>
      </c>
      <c r="B3" s="2" t="inlineStr">
        <is>
          <t>2020A</t>
        </is>
      </c>
      <c r="C3" s="2" t="inlineStr">
        <is>
          <t>2021A</t>
        </is>
      </c>
      <c r="D3" s="2" t="inlineStr">
        <is>
          <t>2022A</t>
        </is>
      </c>
      <c r="E3" s="2" t="inlineStr">
        <is>
          <t>2023A</t>
        </is>
      </c>
      <c r="F3" s="2" t="inlineStr">
        <is>
          <t>2024A</t>
        </is>
      </c>
      <c r="G3" s="2" t="inlineStr">
        <is>
          <t>2025A</t>
        </is>
      </c>
      <c r="H3" s="2" t="inlineStr">
        <is>
          <t>2026E</t>
        </is>
      </c>
      <c r="I3" s="2" t="inlineStr">
        <is>
          <t>2027E</t>
        </is>
      </c>
      <c r="J3" s="2" t="inlineStr">
        <is>
          <t>2028E</t>
        </is>
      </c>
      <c r="K3" s="2" t="inlineStr">
        <is>
          <t>2029E</t>
        </is>
      </c>
      <c r="L3" s="2" t="inlineStr">
        <is>
          <t>2030E</t>
        </is>
      </c>
    </row>
    <row r="4">
      <c r="A4" t="inlineStr">
        <is>
          <t>营业收入</t>
        </is>
      </c>
      <c r="B4" t="n">
        <v>12.13</v>
      </c>
      <c r="C4" t="n">
        <v>14.29</v>
      </c>
      <c r="D4" t="n">
        <v>14.55</v>
      </c>
      <c r="E4" t="n">
        <v>21.04</v>
      </c>
      <c r="F4" t="n">
        <v>18.05</v>
      </c>
      <c r="G4" t="n">
        <v>20.34</v>
      </c>
      <c r="H4">
        <f>G4*(1+模型假设!$B$5)</f>
        <v/>
      </c>
      <c r="I4">
        <f>H4*(1+模型假设!$C$5)</f>
        <v/>
      </c>
      <c r="J4">
        <f>I4*(1+模型假设!$D$5)</f>
        <v/>
      </c>
      <c r="K4">
        <f>J4*(1+模型假设!$E$5)</f>
        <v/>
      </c>
      <c r="L4">
        <f>K4*(1+模型假设!$F$5)</f>
        <v/>
      </c>
    </row>
    <row r="5">
      <c r="A5" t="inlineStr">
        <is>
          <t>YoY增速</t>
        </is>
      </c>
      <c r="C5">
        <f>(C4-B4)/B4</f>
        <v/>
      </c>
      <c r="D5">
        <f>(D4-C4)/C4</f>
        <v/>
      </c>
      <c r="E5">
        <f>(E4-D4)/D4</f>
        <v/>
      </c>
      <c r="F5">
        <f>(F4-E4)/E4</f>
        <v/>
      </c>
      <c r="G5">
        <f>(G4-F4)/F4</f>
        <v/>
      </c>
      <c r="H5">
        <f>(H4-G4)/G4</f>
        <v/>
      </c>
      <c r="I5">
        <f>(I4-H4)/H4</f>
        <v/>
      </c>
      <c r="J5">
        <f>(J4-I4)/I4</f>
        <v/>
      </c>
      <c r="K5">
        <f>(K4-J4)/J4</f>
        <v/>
      </c>
      <c r="L5">
        <f>(L4-K4)/K4</f>
        <v/>
      </c>
    </row>
    <row r="6">
      <c r="A6" t="inlineStr">
        <is>
          <t>营业成本</t>
        </is>
      </c>
      <c r="B6" t="n">
        <v>-8.65</v>
      </c>
      <c r="C6" t="n">
        <v>-10.1</v>
      </c>
      <c r="D6" t="n">
        <v>-10.28</v>
      </c>
      <c r="E6" t="n">
        <v>-15.12</v>
      </c>
      <c r="F6" t="n">
        <v>-12.98</v>
      </c>
      <c r="G6" t="n">
        <v>-14.65</v>
      </c>
      <c r="H6">
        <f>-(H4-H7)</f>
        <v/>
      </c>
      <c r="I6">
        <f>-(I4-I7)</f>
        <v/>
      </c>
      <c r="J6">
        <f>-(J4-J7)</f>
        <v/>
      </c>
      <c r="K6">
        <f>-(K4-K7)</f>
        <v/>
      </c>
      <c r="L6">
        <f>-(L4-L7)</f>
        <v/>
      </c>
    </row>
    <row r="7">
      <c r="A7" t="inlineStr">
        <is>
          <t>毛利润</t>
        </is>
      </c>
      <c r="B7" t="n">
        <v>3.48</v>
      </c>
      <c r="C7" t="n">
        <v>4.19</v>
      </c>
      <c r="D7" t="n">
        <v>4.270000000000001</v>
      </c>
      <c r="E7" t="n">
        <v>5.92</v>
      </c>
      <c r="F7" t="n">
        <v>5.07</v>
      </c>
      <c r="G7" t="n">
        <v>5.69</v>
      </c>
      <c r="H7">
        <f>H4*模型假设!$B$7</f>
        <v/>
      </c>
      <c r="I7">
        <f>I4*模型假设!$C$7</f>
        <v/>
      </c>
      <c r="J7">
        <f>J4*模型假设!$D$7</f>
        <v/>
      </c>
      <c r="K7">
        <f>K4*模型假设!$E$7</f>
        <v/>
      </c>
      <c r="L7">
        <f>L4*模型假设!$F$7</f>
        <v/>
      </c>
    </row>
    <row r="8">
      <c r="A8" t="inlineStr">
        <is>
          <t>毛利率</t>
        </is>
      </c>
      <c r="B8" t="n">
        <v>0.287</v>
      </c>
      <c r="C8" t="n">
        <v>0.293</v>
      </c>
      <c r="D8" t="n">
        <v>0.294</v>
      </c>
      <c r="E8" t="n">
        <v>0.281</v>
      </c>
      <c r="F8" t="n">
        <v>0.28</v>
      </c>
      <c r="G8" t="n">
        <v>0.28</v>
      </c>
    </row>
    <row r="9">
      <c r="A9" t="inlineStr">
        <is>
          <t>期间费用</t>
        </is>
      </c>
    </row>
    <row r="10">
      <c r="A10" t="inlineStr">
        <is>
          <t xml:space="preserve">  销售费用</t>
        </is>
      </c>
      <c r="B10" t="n">
        <v>-0.36</v>
      </c>
      <c r="C10" t="n">
        <v>-0.42</v>
      </c>
      <c r="D10" t="n">
        <v>-0.44</v>
      </c>
      <c r="E10" t="n">
        <v>-0.52</v>
      </c>
      <c r="F10" t="n">
        <v>-0.48</v>
      </c>
      <c r="G10" t="n">
        <v>-0.52</v>
      </c>
      <c r="H10">
        <f>-H4*模型假设!$B$8</f>
        <v/>
      </c>
      <c r="I10">
        <f>-I4*模型假设!$C$8</f>
        <v/>
      </c>
      <c r="J10">
        <f>-J4*模型假设!$D$8</f>
        <v/>
      </c>
      <c r="K10">
        <f>-K4*模型假设!$E$8</f>
        <v/>
      </c>
      <c r="L10">
        <f>-L4*模型假设!$F$8</f>
        <v/>
      </c>
    </row>
    <row r="11">
      <c r="A11" t="inlineStr">
        <is>
          <t xml:space="preserve">  管理费用</t>
        </is>
      </c>
      <c r="B11" t="n">
        <v>-0.87</v>
      </c>
      <c r="C11" t="n">
        <v>-1.01</v>
      </c>
      <c r="D11" t="n">
        <v>-1.08</v>
      </c>
      <c r="E11" t="n">
        <v>-1.35</v>
      </c>
      <c r="F11" t="n">
        <v>-1.25</v>
      </c>
      <c r="G11" t="n">
        <v>-1.32</v>
      </c>
      <c r="H11">
        <f>-H4*模型假设!$B$9</f>
        <v/>
      </c>
      <c r="I11">
        <f>-I4*模型假设!$C$9</f>
        <v/>
      </c>
      <c r="J11">
        <f>-J4*模型假设!$D$9</f>
        <v/>
      </c>
      <c r="K11">
        <f>-K4*模型假设!$E$9</f>
        <v/>
      </c>
      <c r="L11">
        <f>-L4*模型假设!$F$9</f>
        <v/>
      </c>
    </row>
    <row r="12">
      <c r="A12" t="inlineStr">
        <is>
          <t xml:space="preserve">  研发费用</t>
        </is>
      </c>
      <c r="B12" t="n">
        <v>-0.62</v>
      </c>
      <c r="C12" t="n">
        <v>-0.75</v>
      </c>
      <c r="D12" t="n">
        <v>-0.82</v>
      </c>
      <c r="E12" t="n">
        <v>-1.15</v>
      </c>
      <c r="F12" t="n">
        <v>-1.08</v>
      </c>
      <c r="G12" t="n">
        <v>-1.25</v>
      </c>
      <c r="H12">
        <f>-H4*模型假设!$B$10</f>
        <v/>
      </c>
      <c r="I12">
        <f>-I4*模型假设!$C$10</f>
        <v/>
      </c>
      <c r="J12">
        <f>-J4*模型假设!$D$10</f>
        <v/>
      </c>
      <c r="K12">
        <f>-K4*模型假设!$E$10</f>
        <v/>
      </c>
      <c r="L12">
        <f>-L4*模型假设!$F$10</f>
        <v/>
      </c>
    </row>
    <row r="13">
      <c r="A13" t="inlineStr">
        <is>
          <t xml:space="preserve">  研发费用率</t>
        </is>
      </c>
      <c r="B13" t="n">
        <v>0.05111294311624072</v>
      </c>
      <c r="C13" t="n">
        <v>0.05248425472358293</v>
      </c>
      <c r="D13" t="n">
        <v>0.0563573883161512</v>
      </c>
      <c r="E13" t="n">
        <v>0.05465779467680608</v>
      </c>
      <c r="F13" t="n">
        <v>0.05983379501385042</v>
      </c>
      <c r="G13" t="n">
        <v>0.06145526057030482</v>
      </c>
      <c r="H13">
        <f>-H12/H4</f>
        <v/>
      </c>
      <c r="I13">
        <f>-I12/I4</f>
        <v/>
      </c>
      <c r="J13">
        <f>-J12/J4</f>
        <v/>
      </c>
      <c r="K13">
        <f>-K12/K4</f>
        <v/>
      </c>
      <c r="L13">
        <f>-L12/L4</f>
        <v/>
      </c>
    </row>
    <row r="14">
      <c r="A14" t="inlineStr">
        <is>
          <t xml:space="preserve">  财务费用（净额）</t>
        </is>
      </c>
      <c r="B14" t="n">
        <v>-0.18</v>
      </c>
      <c r="C14" t="n">
        <v>-0.12</v>
      </c>
      <c r="D14" t="n">
        <v>-0.08</v>
      </c>
      <c r="E14" t="n">
        <v>-0.05</v>
      </c>
      <c r="F14" t="n">
        <v>-0.02</v>
      </c>
      <c r="G14" t="n">
        <v>0.05</v>
      </c>
      <c r="H14">
        <f>-模型假设!$B$11</f>
        <v/>
      </c>
      <c r="I14">
        <f>-模型假设!$C$11</f>
        <v/>
      </c>
      <c r="J14">
        <f>-模型假设!$D$11</f>
        <v/>
      </c>
      <c r="K14">
        <f>-模型假设!$E$11</f>
        <v/>
      </c>
      <c r="L14">
        <f>-模型假设!$F$11</f>
        <v/>
      </c>
    </row>
    <row r="16">
      <c r="A16" t="inlineStr">
        <is>
          <t>营业利润</t>
        </is>
      </c>
      <c r="B16" t="n">
        <v>2.16</v>
      </c>
      <c r="C16" t="n">
        <v>2.68</v>
      </c>
      <c r="D16" t="n">
        <v>2.75</v>
      </c>
      <c r="E16" t="n">
        <v>4.12</v>
      </c>
      <c r="F16" t="n">
        <v>3.52</v>
      </c>
      <c r="G16" t="n">
        <v>3.85</v>
      </c>
      <c r="H16">
        <f>H7+H10+H11+H12+H14</f>
        <v/>
      </c>
      <c r="I16">
        <f>I7+I10+I11+I12+I14</f>
        <v/>
      </c>
      <c r="J16">
        <f>J7+J10+J11+J12+J14</f>
        <v/>
      </c>
      <c r="K16">
        <f>K7+K10+K11+K12+K14</f>
        <v/>
      </c>
      <c r="L16">
        <f>L7+L10+L11+L12+L14</f>
        <v/>
      </c>
    </row>
    <row r="17">
      <c r="A17" t="inlineStr">
        <is>
          <t>营业利润率</t>
        </is>
      </c>
      <c r="B17" t="n">
        <v>0.1780708985985161</v>
      </c>
      <c r="C17" t="n">
        <v>0.1875437368789363</v>
      </c>
      <c r="D17" t="n">
        <v>0.1890034364261168</v>
      </c>
      <c r="E17" t="n">
        <v>0.1958174904942966</v>
      </c>
      <c r="F17" t="n">
        <v>0.1950138504155124</v>
      </c>
      <c r="G17" t="n">
        <v>0.1892822025565389</v>
      </c>
      <c r="H17">
        <f>H16/H4</f>
        <v/>
      </c>
      <c r="I17">
        <f>I16/I4</f>
        <v/>
      </c>
      <c r="J17">
        <f>J16/J4</f>
        <v/>
      </c>
      <c r="K17">
        <f>K16/K4</f>
        <v/>
      </c>
      <c r="L17">
        <f>L16/L4</f>
        <v/>
      </c>
    </row>
    <row r="18">
      <c r="A18" t="inlineStr">
        <is>
          <t>EBITDA</t>
        </is>
      </c>
      <c r="B18" t="n">
        <v>3.373</v>
      </c>
      <c r="C18" t="n">
        <v>4.109</v>
      </c>
      <c r="D18" t="n">
        <v>4.205</v>
      </c>
      <c r="E18" t="n">
        <v>6.224</v>
      </c>
      <c r="F18" t="n">
        <v>5.325</v>
      </c>
      <c r="G18" t="n">
        <v>5.884</v>
      </c>
      <c r="H18">
        <f>H16+模型假设!$B$15</f>
        <v/>
      </c>
      <c r="I18">
        <f>I16+模型假设!$C$15</f>
        <v/>
      </c>
      <c r="J18">
        <f>J16+模型假设!$D$15</f>
        <v/>
      </c>
      <c r="K18">
        <f>K16+模型假设!$E$15</f>
        <v/>
      </c>
      <c r="L18">
        <f>L16+模型假设!$F$15</f>
        <v/>
      </c>
    </row>
    <row r="19">
      <c r="A19" t="inlineStr">
        <is>
          <t>EBITDA率</t>
        </is>
      </c>
      <c r="B19" t="n">
        <v>0.2780708985985161</v>
      </c>
      <c r="C19" t="n">
        <v>0.2875437368789364</v>
      </c>
      <c r="D19" t="n">
        <v>0.2890034364261168</v>
      </c>
      <c r="E19" t="n">
        <v>0.2958174904942966</v>
      </c>
      <c r="F19" t="n">
        <v>0.2950138504155125</v>
      </c>
      <c r="G19" t="n">
        <v>0.2892822025565389</v>
      </c>
      <c r="H19">
        <f>H18/H4</f>
        <v/>
      </c>
      <c r="I19">
        <f>I18/I4</f>
        <v/>
      </c>
      <c r="J19">
        <f>J18/J4</f>
        <v/>
      </c>
      <c r="K19">
        <f>K18/K4</f>
        <v/>
      </c>
      <c r="L19">
        <f>L18/L4</f>
        <v/>
      </c>
    </row>
    <row r="21">
      <c r="A21" t="inlineStr">
        <is>
          <t>净利润（合并）</t>
        </is>
      </c>
      <c r="B21" t="n">
        <v>1.65</v>
      </c>
      <c r="C21" t="n">
        <v>2.05</v>
      </c>
      <c r="D21" t="n">
        <v>2.21</v>
      </c>
      <c r="E21" t="n">
        <v>3.28</v>
      </c>
      <c r="F21" t="n">
        <v>2.68</v>
      </c>
      <c r="G21" t="n">
        <v>2.92</v>
      </c>
      <c r="H21">
        <f>H16*(1-模型假设!$B$12)</f>
        <v/>
      </c>
      <c r="I21">
        <f>I16*(1-模型假设!$C$12)</f>
        <v/>
      </c>
      <c r="J21">
        <f>J16*(1-模型假设!$D$12)</f>
        <v/>
      </c>
      <c r="K21">
        <f>K16*(1-模型假设!$E$12)</f>
        <v/>
      </c>
      <c r="L21">
        <f>L16*(1-模型假设!$F$12)</f>
        <v/>
      </c>
    </row>
    <row r="22">
      <c r="A22" t="inlineStr">
        <is>
          <t>归母净利润</t>
        </is>
      </c>
      <c r="B22" t="n">
        <v>1.65</v>
      </c>
      <c r="C22" t="n">
        <v>2.05</v>
      </c>
      <c r="D22" t="n">
        <v>1.84</v>
      </c>
      <c r="E22" t="n">
        <v>1.86</v>
      </c>
      <c r="F22" t="n">
        <v>1.89</v>
      </c>
      <c r="G22" t="n">
        <v>1.86</v>
      </c>
      <c r="H22">
        <f>H21*模型假设!$B$13</f>
        <v/>
      </c>
      <c r="I22">
        <f>I21*模型假设!$C$13</f>
        <v/>
      </c>
      <c r="J22">
        <f>J21*模型假设!$D$13</f>
        <v/>
      </c>
      <c r="K22">
        <f>K21*模型假设!$E$13</f>
        <v/>
      </c>
      <c r="L22">
        <f>L21*模型假设!$F$13</f>
        <v/>
      </c>
    </row>
    <row r="23">
      <c r="A23" t="inlineStr">
        <is>
          <t>归母净利YoY</t>
        </is>
      </c>
      <c r="C23">
        <f>(C22-B22)/B22</f>
        <v/>
      </c>
      <c r="D23">
        <f>(D22-C22)/C22</f>
        <v/>
      </c>
      <c r="E23">
        <f>(E22-D22)/D22</f>
        <v/>
      </c>
      <c r="F23">
        <f>(F22-E22)/E22</f>
        <v/>
      </c>
      <c r="G23">
        <f>(G22-F22)/F22</f>
        <v/>
      </c>
      <c r="H23">
        <f>(H22-G22)/G22</f>
        <v/>
      </c>
      <c r="I23">
        <f>(I22-H22)/H22</f>
        <v/>
      </c>
      <c r="J23">
        <f>(J22-I22)/I22</f>
        <v/>
      </c>
      <c r="K23">
        <f>(K22-J22)/J22</f>
        <v/>
      </c>
      <c r="L23">
        <f>(L22-K22)/K22</f>
        <v/>
      </c>
    </row>
    <row r="24">
      <c r="A24" t="inlineStr">
        <is>
          <t>归母净利率</t>
        </is>
      </c>
      <c r="B24" t="n">
        <v>0.1360263808738664</v>
      </c>
      <c r="C24" t="n">
        <v>0.1434569629111267</v>
      </c>
      <c r="D24" t="n">
        <v>0.1264604810996564</v>
      </c>
      <c r="E24" t="n">
        <v>0.08840304182509506</v>
      </c>
      <c r="F24" t="n">
        <v>0.1047091412742382</v>
      </c>
      <c r="G24" t="n">
        <v>0.09144542772861357</v>
      </c>
      <c r="H24">
        <f>H22/H4</f>
        <v/>
      </c>
      <c r="I24">
        <f>I22/I4</f>
        <v/>
      </c>
      <c r="J24">
        <f>J22/J4</f>
        <v/>
      </c>
      <c r="K24">
        <f>K22/K4</f>
        <v/>
      </c>
      <c r="L24">
        <f>L22/L4</f>
        <v/>
      </c>
    </row>
    <row r="25">
      <c r="A25" t="inlineStr">
        <is>
          <t>EPS（元/股）</t>
        </is>
      </c>
      <c r="B25" t="n">
        <v>1.15</v>
      </c>
      <c r="C25" t="n">
        <v>1.42</v>
      </c>
      <c r="D25" t="n">
        <v>1.27</v>
      </c>
      <c r="E25" t="n">
        <v>1.28</v>
      </c>
      <c r="F25" t="n">
        <v>1.3</v>
      </c>
      <c r="G25" t="n">
        <v>0.98</v>
      </c>
      <c r="H25">
        <f>H22/模型假设!$B$26</f>
        <v/>
      </c>
      <c r="I25">
        <f>I22/模型假设!$B$26</f>
        <v/>
      </c>
      <c r="J25">
        <f>J22/模型假设!$B$26</f>
        <v/>
      </c>
      <c r="K25">
        <f>K22/模型假设!$B$26</f>
        <v/>
      </c>
      <c r="L25">
        <f>L22/模型假设!$B$26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t="inlineStr">
        <is>
          <t>【资产负债表】航宇科技（688239.SH）</t>
        </is>
      </c>
    </row>
    <row r="2">
      <c r="A2" t="inlineStr">
        <is>
          <t>单位：亿元人民币</t>
        </is>
      </c>
    </row>
    <row r="3">
      <c r="A3" t="inlineStr">
        <is>
          <t>科目</t>
        </is>
      </c>
      <c r="B3" s="2" t="inlineStr">
        <is>
          <t>2020A</t>
        </is>
      </c>
      <c r="C3" s="2" t="inlineStr">
        <is>
          <t>2021A</t>
        </is>
      </c>
      <c r="D3" s="2" t="inlineStr">
        <is>
          <t>2022A</t>
        </is>
      </c>
      <c r="E3" s="2" t="inlineStr">
        <is>
          <t>2023A</t>
        </is>
      </c>
      <c r="F3" s="2" t="inlineStr">
        <is>
          <t>2024A</t>
        </is>
      </c>
      <c r="G3" s="2" t="inlineStr">
        <is>
          <t>2025A</t>
        </is>
      </c>
      <c r="H3" s="2" t="inlineStr">
        <is>
          <t>2026E</t>
        </is>
      </c>
      <c r="I3" s="2" t="inlineStr">
        <is>
          <t>2027E</t>
        </is>
      </c>
      <c r="J3" s="2" t="inlineStr">
        <is>
          <t>2028E</t>
        </is>
      </c>
      <c r="K3" s="2" t="inlineStr">
        <is>
          <t>2029E</t>
        </is>
      </c>
      <c r="L3" s="2" t="inlineStr">
        <is>
          <t>2030E</t>
        </is>
      </c>
    </row>
    <row r="4">
      <c r="A4" t="inlineStr">
        <is>
          <t>流动资产</t>
        </is>
      </c>
    </row>
    <row r="5">
      <c r="A5" t="inlineStr">
        <is>
          <t>货币资金</t>
        </is>
      </c>
      <c r="B5" t="n">
        <v>5.82</v>
      </c>
      <c r="C5" t="n">
        <v>7.45</v>
      </c>
      <c r="D5" t="n">
        <v>8.92</v>
      </c>
      <c r="E5" t="n">
        <v>9.85</v>
      </c>
      <c r="F5" t="n">
        <v>10.52</v>
      </c>
      <c r="G5" t="n">
        <v>12.15</v>
      </c>
      <c r="H5">
        <f>现金流量表!H13</f>
        <v/>
      </c>
      <c r="I5">
        <f>现金流量表!I13</f>
        <v/>
      </c>
      <c r="J5">
        <f>现金流量表!J13</f>
        <v/>
      </c>
      <c r="K5">
        <f>现金流量表!K13</f>
        <v/>
      </c>
      <c r="L5">
        <f>现金流量表!L13</f>
        <v/>
      </c>
    </row>
    <row r="6">
      <c r="A6" t="inlineStr">
        <is>
          <t>应收账款</t>
        </is>
      </c>
      <c r="B6" t="n">
        <v>3.45</v>
      </c>
      <c r="C6" t="n">
        <v>4.12</v>
      </c>
      <c r="D6" t="n">
        <v>4.56</v>
      </c>
      <c r="E6" t="n">
        <v>5.82</v>
      </c>
      <c r="F6" t="n">
        <v>6.98</v>
      </c>
      <c r="G6" t="n">
        <v>8.25</v>
      </c>
      <c r="H6">
        <f>利润表!H4*模型假设!$B$18/365</f>
        <v/>
      </c>
      <c r="I6">
        <f>利润表!I4*模型假设!$C$18/365</f>
        <v/>
      </c>
      <c r="J6">
        <f>利润表!J4*模型假设!$D$18/365</f>
        <v/>
      </c>
      <c r="K6">
        <f>利润表!K4*模型假设!$E$18/365</f>
        <v/>
      </c>
      <c r="L6">
        <f>利润表!L4*模型假设!$F$18/365</f>
        <v/>
      </c>
    </row>
    <row r="7">
      <c r="A7" t="inlineStr">
        <is>
          <t>存货</t>
        </is>
      </c>
      <c r="B7" t="n">
        <v>2.31</v>
      </c>
      <c r="C7" t="n">
        <v>2.78</v>
      </c>
      <c r="D7" t="n">
        <v>3.12</v>
      </c>
      <c r="E7" t="n">
        <v>4.25</v>
      </c>
      <c r="F7" t="n">
        <v>5.12</v>
      </c>
      <c r="G7" t="n">
        <v>6.15</v>
      </c>
      <c r="H7">
        <f>-利润表!H6*模型假设!$B$19/365</f>
        <v/>
      </c>
      <c r="I7">
        <f>-利润表!I6*模型假设!$C$19/365</f>
        <v/>
      </c>
      <c r="J7">
        <f>-利润表!J6*模型假设!$D$19/365</f>
        <v/>
      </c>
      <c r="K7">
        <f>-利润表!K6*模型假设!$E$19/365</f>
        <v/>
      </c>
      <c r="L7">
        <f>-利润表!L6*模型假设!$F$19/365</f>
        <v/>
      </c>
    </row>
    <row r="8">
      <c r="A8" t="inlineStr">
        <is>
          <t>其他流动资产</t>
        </is>
      </c>
      <c r="B8" t="n">
        <v>1.2</v>
      </c>
      <c r="C8" t="n">
        <v>1.55</v>
      </c>
      <c r="D8" t="n">
        <v>1.82</v>
      </c>
      <c r="E8" t="n">
        <v>2.15</v>
      </c>
      <c r="F8" t="n">
        <v>2.45</v>
      </c>
      <c r="G8" t="n">
        <v>2.85</v>
      </c>
      <c r="H8">
        <f>G8*0.99</f>
        <v/>
      </c>
      <c r="I8">
        <f>H8*0.99</f>
        <v/>
      </c>
      <c r="J8">
        <f>I8*0.99</f>
        <v/>
      </c>
      <c r="K8">
        <f>J8*0.99</f>
        <v/>
      </c>
      <c r="L8">
        <f>K8*0.99</f>
        <v/>
      </c>
    </row>
    <row r="9">
      <c r="A9" t="inlineStr">
        <is>
          <t>流动资产合计</t>
        </is>
      </c>
      <c r="B9" t="n">
        <v>12.78</v>
      </c>
      <c r="C9" t="n">
        <v>15.9</v>
      </c>
      <c r="D9" t="n">
        <v>18.42</v>
      </c>
      <c r="E9" t="n">
        <v>22.07</v>
      </c>
      <c r="F9" t="n">
        <v>25.07</v>
      </c>
      <c r="G9" t="n">
        <v>29.4</v>
      </c>
      <c r="H9">
        <f>SUM(H5:H8)</f>
        <v/>
      </c>
      <c r="I9">
        <f>SUM(I5:I8)</f>
        <v/>
      </c>
      <c r="J9">
        <f>SUM(J5:J8)</f>
        <v/>
      </c>
      <c r="K9">
        <f>SUM(K5:K8)</f>
        <v/>
      </c>
      <c r="L9">
        <f>SUM(L5:L8)</f>
        <v/>
      </c>
    </row>
    <row r="10">
      <c r="A10" t="inlineStr">
        <is>
          <t>非流动资产</t>
        </is>
      </c>
    </row>
    <row r="11">
      <c r="A11" t="inlineStr">
        <is>
          <t>固定资产+在建工程</t>
        </is>
      </c>
      <c r="B11" t="n">
        <v>6.54</v>
      </c>
      <c r="C11" t="n">
        <v>7.82</v>
      </c>
      <c r="D11" t="n">
        <v>9.15</v>
      </c>
      <c r="E11" t="n">
        <v>10.58</v>
      </c>
      <c r="F11" t="n">
        <v>12.15</v>
      </c>
      <c r="G11" t="n">
        <v>13.85</v>
      </c>
      <c r="H11">
        <f>G11+模型假设!$B$16-模型假设!$B$15</f>
        <v/>
      </c>
      <c r="I11">
        <f>H11+模型假设!$C$16-模型假设!$C$15</f>
        <v/>
      </c>
      <c r="J11">
        <f>I11+模型假设!$D$16-模型假设!$D$15</f>
        <v/>
      </c>
      <c r="K11">
        <f>J11+模型假设!$E$16-模型假设!$E$15</f>
        <v/>
      </c>
      <c r="L11">
        <f>K11+模型假设!$F$16-模型假设!$F$15</f>
        <v/>
      </c>
    </row>
    <row r="12">
      <c r="A12" t="inlineStr">
        <is>
          <t>其他非流动资产</t>
        </is>
      </c>
      <c r="B12" t="n">
        <v>3.21</v>
      </c>
      <c r="C12" t="n">
        <v>3.85</v>
      </c>
      <c r="D12" t="n">
        <v>4.2</v>
      </c>
      <c r="E12" t="n">
        <v>4.92</v>
      </c>
      <c r="F12" t="n">
        <v>5.45</v>
      </c>
      <c r="G12" t="n">
        <v>6.12</v>
      </c>
      <c r="H12">
        <f>G12*1.01</f>
        <v/>
      </c>
      <c r="I12">
        <f>H12*1.01</f>
        <v/>
      </c>
      <c r="J12">
        <f>I12*1.01</f>
        <v/>
      </c>
      <c r="K12">
        <f>J12*1.01</f>
        <v/>
      </c>
      <c r="L12">
        <f>K12*1.01</f>
        <v/>
      </c>
    </row>
    <row r="13">
      <c r="A13" t="inlineStr">
        <is>
          <t>非流动资产合计</t>
        </is>
      </c>
      <c r="B13" t="n">
        <v>9.75</v>
      </c>
      <c r="C13" t="n">
        <v>11.67</v>
      </c>
      <c r="D13" t="n">
        <v>13.35</v>
      </c>
      <c r="E13" t="n">
        <v>15.5</v>
      </c>
      <c r="F13" t="n">
        <v>17.6</v>
      </c>
      <c r="G13" t="n">
        <v>19.97</v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资产总计</t>
        </is>
      </c>
      <c r="B14" t="n">
        <v>22.53</v>
      </c>
      <c r="C14" t="n">
        <v>27.57</v>
      </c>
      <c r="D14" t="n">
        <v>31.77</v>
      </c>
      <c r="E14" t="n">
        <v>37.57</v>
      </c>
      <c r="F14" t="n">
        <v>42.67</v>
      </c>
      <c r="G14" t="n">
        <v>49.37</v>
      </c>
      <c r="H14">
        <f>H9+H13</f>
        <v/>
      </c>
      <c r="I14">
        <f>I9+I13</f>
        <v/>
      </c>
      <c r="J14">
        <f>J9+J13</f>
        <v/>
      </c>
      <c r="K14">
        <f>K9+K13</f>
        <v/>
      </c>
      <c r="L14">
        <f>L9+L13</f>
        <v/>
      </c>
    </row>
    <row r="15">
      <c r="A15" t="inlineStr">
        <is>
          <t>流动负债</t>
        </is>
      </c>
    </row>
    <row r="17">
      <c r="A17" t="inlineStr">
        <is>
          <t>短期借款</t>
        </is>
      </c>
      <c r="B17" t="n">
        <v>2.1</v>
      </c>
      <c r="C17" t="n">
        <v>2.35</v>
      </c>
      <c r="D17" t="n">
        <v>2.55</v>
      </c>
      <c r="E17" t="n">
        <v>2.85</v>
      </c>
      <c r="F17" t="n">
        <v>3.12</v>
      </c>
      <c r="G17" t="n">
        <v>3.45</v>
      </c>
      <c r="H17">
        <f>G17</f>
        <v/>
      </c>
      <c r="I17">
        <f>H17</f>
        <v/>
      </c>
      <c r="J17">
        <f>I17</f>
        <v/>
      </c>
      <c r="K17">
        <f>J17</f>
        <v/>
      </c>
      <c r="L17">
        <f>K17</f>
        <v/>
      </c>
    </row>
    <row r="18">
      <c r="A18" t="inlineStr">
        <is>
          <t>应付账款</t>
        </is>
      </c>
      <c r="B18" t="n">
        <v>2.85</v>
      </c>
      <c r="C18" t="n">
        <v>3.42</v>
      </c>
      <c r="D18" t="n">
        <v>3.78</v>
      </c>
      <c r="E18" t="n">
        <v>4.52</v>
      </c>
      <c r="F18" t="n">
        <v>5.15</v>
      </c>
      <c r="G18" t="n">
        <v>5.85</v>
      </c>
      <c r="H18">
        <f>-利润表!H6*模型假设!$B$20/365</f>
        <v/>
      </c>
      <c r="I18">
        <f>-利润表!I6*模型假设!$C$20/365</f>
        <v/>
      </c>
      <c r="J18">
        <f>-利润表!J6*模型假设!$D$20/365</f>
        <v/>
      </c>
      <c r="K18">
        <f>-利润表!K6*模型假设!$E$20/365</f>
        <v/>
      </c>
      <c r="L18">
        <f>-利润表!L6*模型假设!$F$20/365</f>
        <v/>
      </c>
    </row>
    <row r="19">
      <c r="A19" t="inlineStr">
        <is>
          <t>其他流动负债</t>
        </is>
      </c>
      <c r="B19" t="n">
        <v>1.45</v>
      </c>
      <c r="C19" t="n">
        <v>1.78</v>
      </c>
      <c r="D19" t="n">
        <v>2.05</v>
      </c>
      <c r="E19" t="n">
        <v>2.45</v>
      </c>
      <c r="F19" t="n">
        <v>2.85</v>
      </c>
      <c r="G19" t="n">
        <v>3.15</v>
      </c>
      <c r="H19">
        <f>G19*0.98</f>
        <v/>
      </c>
      <c r="I19">
        <f>H19*0.98</f>
        <v/>
      </c>
      <c r="J19">
        <f>I19*0.98</f>
        <v/>
      </c>
      <c r="K19">
        <f>J19*0.98</f>
        <v/>
      </c>
      <c r="L19">
        <f>K19*0.98</f>
        <v/>
      </c>
    </row>
    <row r="20">
      <c r="A20" t="inlineStr">
        <is>
          <t>流动负债合计</t>
        </is>
      </c>
      <c r="B20" t="n">
        <v>6.4</v>
      </c>
      <c r="C20" t="n">
        <v>7.55</v>
      </c>
      <c r="D20" t="n">
        <v>8.379999999999999</v>
      </c>
      <c r="E20" t="n">
        <v>9.82</v>
      </c>
      <c r="F20" t="n">
        <v>11.12</v>
      </c>
      <c r="G20" t="n">
        <v>12.45</v>
      </c>
      <c r="H20">
        <f>H17+H18+H19</f>
        <v/>
      </c>
      <c r="I20">
        <f>I17+I18+I19</f>
        <v/>
      </c>
      <c r="J20">
        <f>J17+J18+J19</f>
        <v/>
      </c>
      <c r="K20">
        <f>K17+K18+K19</f>
        <v/>
      </c>
      <c r="L20">
        <f>L17+L18+L19</f>
        <v/>
      </c>
    </row>
    <row r="21">
      <c r="A21" t="inlineStr">
        <is>
          <t>非流动负债</t>
        </is>
      </c>
    </row>
    <row r="22">
      <c r="A22" t="inlineStr">
        <is>
          <t>长期借款</t>
        </is>
      </c>
      <c r="B22" t="n">
        <v>0.85</v>
      </c>
      <c r="C22" t="n">
        <v>0.95</v>
      </c>
      <c r="D22" t="n">
        <v>1.05</v>
      </c>
      <c r="E22" t="n">
        <v>1.25</v>
      </c>
      <c r="F22" t="n">
        <v>1.45</v>
      </c>
      <c r="G22" t="n">
        <v>1.65</v>
      </c>
      <c r="H22">
        <f>G22</f>
        <v/>
      </c>
      <c r="I22">
        <f>H22</f>
        <v/>
      </c>
      <c r="J22">
        <f>I22</f>
        <v/>
      </c>
      <c r="K22">
        <f>J22</f>
        <v/>
      </c>
      <c r="L22">
        <f>K22</f>
        <v/>
      </c>
    </row>
    <row r="23">
      <c r="A23" t="inlineStr">
        <is>
          <t>其他非流动负债</t>
        </is>
      </c>
      <c r="B23" t="n">
        <v>0.62</v>
      </c>
      <c r="C23" t="n">
        <v>0.78</v>
      </c>
      <c r="D23" t="n">
        <v>0.85</v>
      </c>
      <c r="E23" t="n">
        <v>0.95</v>
      </c>
      <c r="F23" t="n">
        <v>1.08</v>
      </c>
      <c r="G23" t="n">
        <v>1.25</v>
      </c>
      <c r="H23">
        <f>G23*1.02</f>
        <v/>
      </c>
      <c r="I23">
        <f>H23*1.02</f>
        <v/>
      </c>
      <c r="J23">
        <f>I23*1.02</f>
        <v/>
      </c>
      <c r="K23">
        <f>J23*1.02</f>
        <v/>
      </c>
      <c r="L23">
        <f>K23*1.02</f>
        <v/>
      </c>
    </row>
    <row r="24">
      <c r="A24" t="inlineStr">
        <is>
          <t>非流动负债合计</t>
        </is>
      </c>
      <c r="B24" t="n">
        <v>1.47</v>
      </c>
      <c r="C24" t="n">
        <v>1.73</v>
      </c>
      <c r="D24" t="n">
        <v>1.9</v>
      </c>
      <c r="E24" t="n">
        <v>2.2</v>
      </c>
      <c r="F24" t="n">
        <v>2.53</v>
      </c>
      <c r="G24" t="n">
        <v>2.9</v>
      </c>
      <c r="H24">
        <f>H22+H23</f>
        <v/>
      </c>
      <c r="I24">
        <f>I22+I23</f>
        <v/>
      </c>
      <c r="J24">
        <f>J22+J23</f>
        <v/>
      </c>
      <c r="K24">
        <f>K22+K23</f>
        <v/>
      </c>
      <c r="L24">
        <f>L22+L23</f>
        <v/>
      </c>
    </row>
    <row r="25">
      <c r="A25" t="inlineStr">
        <is>
          <t>负债合计</t>
        </is>
      </c>
      <c r="B25" t="n">
        <v>7.87</v>
      </c>
      <c r="C25" t="n">
        <v>9.279999999999999</v>
      </c>
      <c r="D25" t="n">
        <v>10.28</v>
      </c>
      <c r="E25" t="n">
        <v>12.02</v>
      </c>
      <c r="F25" t="n">
        <v>13.65</v>
      </c>
      <c r="G25" t="n">
        <v>15.35</v>
      </c>
      <c r="H25">
        <f>H20+H24</f>
        <v/>
      </c>
      <c r="I25">
        <f>I20+I24</f>
        <v/>
      </c>
      <c r="J25">
        <f>J20+J24</f>
        <v/>
      </c>
      <c r="K25">
        <f>K20+K24</f>
        <v/>
      </c>
      <c r="L25">
        <f>L20+L24</f>
        <v/>
      </c>
    </row>
    <row r="26">
      <c r="A26" t="inlineStr">
        <is>
          <t>股东权益</t>
        </is>
      </c>
    </row>
    <row r="28">
      <c r="A28" t="inlineStr">
        <is>
          <t>归母股东权益</t>
        </is>
      </c>
      <c r="B28" t="n">
        <v>9.859999999999999</v>
      </c>
      <c r="C28" t="n">
        <v>11.52</v>
      </c>
      <c r="D28" t="n">
        <v>13.15</v>
      </c>
      <c r="E28" t="n">
        <v>15.25</v>
      </c>
      <c r="F28" t="n">
        <v>16.85</v>
      </c>
      <c r="G28" t="n">
        <v>18.52</v>
      </c>
      <c r="H28">
        <f>G28+利润表!H22*(1-模型假设!$B$22)</f>
        <v/>
      </c>
      <c r="I28">
        <f>H28+利润表!I22*(1-模型假设!$C$22)</f>
        <v/>
      </c>
      <c r="J28">
        <f>I28+利润表!J22*(1-模型假设!$D$22)</f>
        <v/>
      </c>
      <c r="K28">
        <f>J28+利润表!K22*(1-模型假设!$E$22)</f>
        <v/>
      </c>
      <c r="L28">
        <f>K28+利润表!L22*(1-模型假设!$F$22)</f>
        <v/>
      </c>
    </row>
    <row r="29">
      <c r="A29" t="inlineStr">
        <is>
          <t>少数股东权益</t>
        </is>
      </c>
      <c r="B29" t="n">
        <v>0.35</v>
      </c>
      <c r="C29" t="n">
        <v>0.42</v>
      </c>
      <c r="D29" t="n">
        <v>0.51</v>
      </c>
      <c r="E29" t="n">
        <v>0.58</v>
      </c>
      <c r="F29" t="n">
        <v>0.65</v>
      </c>
      <c r="G29" t="n">
        <v>0.72</v>
      </c>
      <c r="H29">
        <f>G29*1.02</f>
        <v/>
      </c>
      <c r="I29">
        <f>H29*1.02</f>
        <v/>
      </c>
      <c r="J29">
        <f>I29*1.02</f>
        <v/>
      </c>
      <c r="K29">
        <f>J29*1.02</f>
        <v/>
      </c>
      <c r="L29">
        <f>K29*1.02</f>
        <v/>
      </c>
    </row>
    <row r="30">
      <c r="A30" t="inlineStr">
        <is>
          <t>股东权益合计</t>
        </is>
      </c>
      <c r="B30" t="n">
        <v>10.21</v>
      </c>
      <c r="C30" t="n">
        <v>11.94</v>
      </c>
      <c r="D30" t="n">
        <v>13.66</v>
      </c>
      <c r="E30" t="n">
        <v>15.83</v>
      </c>
      <c r="F30" t="n">
        <v>17.5</v>
      </c>
      <c r="G30" t="n">
        <v>19.24</v>
      </c>
      <c r="H30">
        <f>H28+H29</f>
        <v/>
      </c>
      <c r="I30">
        <f>I28+I29</f>
        <v/>
      </c>
      <c r="J30">
        <f>J28+J29</f>
        <v/>
      </c>
      <c r="K30">
        <f>K28+K29</f>
        <v/>
      </c>
      <c r="L30">
        <f>L28+L29</f>
        <v/>
      </c>
    </row>
    <row r="31">
      <c r="A31" t="inlineStr">
        <is>
          <t>验证（负债+权益）</t>
        </is>
      </c>
      <c r="B31" t="n">
        <v>18.08</v>
      </c>
      <c r="C31" t="n">
        <v>21.22</v>
      </c>
      <c r="D31" t="n">
        <v>23.94</v>
      </c>
      <c r="E31" t="n">
        <v>27.85</v>
      </c>
      <c r="F31" t="n">
        <v>31.15</v>
      </c>
      <c r="G31" t="n">
        <v>34.59</v>
      </c>
      <c r="H31">
        <f>H25+H30</f>
        <v/>
      </c>
      <c r="I31">
        <f>I25+I30</f>
        <v/>
      </c>
      <c r="J31">
        <f>J25+J30</f>
        <v/>
      </c>
      <c r="K31">
        <f>K25+K30</f>
        <v/>
      </c>
      <c r="L31">
        <f>L25+L30</f>
        <v/>
      </c>
    </row>
    <row r="33">
      <c r="A33" t="inlineStr">
        <is>
          <t>资产负债率</t>
        </is>
      </c>
      <c r="B33" t="n">
        <v>0.349312028406569</v>
      </c>
      <c r="C33" t="n">
        <v>0.3365977511788175</v>
      </c>
      <c r="D33" t="n">
        <v>0.3235757003462386</v>
      </c>
      <c r="E33" t="n">
        <v>0.3199361192440777</v>
      </c>
      <c r="F33" t="n">
        <v>0.3198968830560112</v>
      </c>
      <c r="G33" t="n">
        <v>0.3109175612720276</v>
      </c>
      <c r="H33">
        <f>H25/H14</f>
        <v/>
      </c>
      <c r="I33">
        <f>I25/I14</f>
        <v/>
      </c>
      <c r="J33">
        <f>J25/J14</f>
        <v/>
      </c>
      <c r="K33">
        <f>K25/K14</f>
        <v/>
      </c>
      <c r="L33">
        <f>L25/L14</f>
        <v/>
      </c>
    </row>
    <row r="34">
      <c r="A34" t="inlineStr">
        <is>
          <t>净负债/权益</t>
        </is>
      </c>
      <c r="B34" t="n">
        <v>-0.2810969637610187</v>
      </c>
      <c r="C34" t="n">
        <v>-0.347571189279732</v>
      </c>
      <c r="D34" t="n">
        <v>-0.3894582723279649</v>
      </c>
      <c r="E34" t="n">
        <v>-0.363234365129501</v>
      </c>
      <c r="F34" t="n">
        <v>-0.34</v>
      </c>
      <c r="G34" t="n">
        <v>-0.3664241164241165</v>
      </c>
      <c r="H34">
        <f>(H17+H22-H5)/H30</f>
        <v/>
      </c>
      <c r="I34">
        <f>(I17+I22-I5)/I30</f>
        <v/>
      </c>
      <c r="J34">
        <f>(J17+J22-J5)/J30</f>
        <v/>
      </c>
      <c r="K34">
        <f>(K17+K22-K5)/K30</f>
        <v/>
      </c>
      <c r="L34">
        <f>(L17+L22-L5)/L30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t="inlineStr">
        <is>
          <t>【现金流量表】航宇科技（688239.SH）</t>
        </is>
      </c>
    </row>
    <row r="2">
      <c r="A2" t="inlineStr">
        <is>
          <t>单位：亿元人民币</t>
        </is>
      </c>
    </row>
    <row r="3">
      <c r="A3" t="inlineStr">
        <is>
          <t>科目</t>
        </is>
      </c>
      <c r="B3" s="2" t="inlineStr">
        <is>
          <t>2020A</t>
        </is>
      </c>
      <c r="C3" s="2" t="inlineStr">
        <is>
          <t>2021A</t>
        </is>
      </c>
      <c r="D3" s="2" t="inlineStr">
        <is>
          <t>2022A</t>
        </is>
      </c>
      <c r="E3" s="2" t="inlineStr">
        <is>
          <t>2023A</t>
        </is>
      </c>
      <c r="F3" s="2" t="inlineStr">
        <is>
          <t>2024A</t>
        </is>
      </c>
      <c r="G3" s="2" t="inlineStr">
        <is>
          <t>2025A</t>
        </is>
      </c>
      <c r="H3" s="2" t="inlineStr">
        <is>
          <t>2026E</t>
        </is>
      </c>
      <c r="I3" s="2" t="inlineStr">
        <is>
          <t>2027E</t>
        </is>
      </c>
      <c r="J3" s="2" t="inlineStr">
        <is>
          <t>2028E</t>
        </is>
      </c>
      <c r="K3" s="2" t="inlineStr">
        <is>
          <t>2029E</t>
        </is>
      </c>
      <c r="L3" s="2" t="inlineStr">
        <is>
          <t>2030E</t>
        </is>
      </c>
    </row>
    <row r="4">
      <c r="A4" t="inlineStr">
        <is>
          <t>经营活动现金流</t>
        </is>
      </c>
      <c r="B4" t="n">
        <v>1.82</v>
      </c>
      <c r="C4" t="n">
        <v>2.15</v>
      </c>
      <c r="D4" t="n">
        <v>2.45</v>
      </c>
      <c r="E4" t="n">
        <v>2.85</v>
      </c>
      <c r="F4" t="n">
        <v>1.44</v>
      </c>
      <c r="G4" t="n">
        <v>2.15</v>
      </c>
      <c r="H4">
        <f>利润表!H21+模型假设!$B$15-((资产负债表!H6-资产负债表!G6)+(资产负债表!H7-资产负债表!G7)-(资产负债表!H18-资产负债表!G18))</f>
        <v/>
      </c>
      <c r="I4">
        <f>利润表!I21+模型假设!$C$15-((资产负债表!I6-资产负债表!H6)+(资产负债表!I7-资产负债表!H7)-(资产负债表!I18-资产负债表!H18))</f>
        <v/>
      </c>
      <c r="J4">
        <f>利润表!J21+模型假设!$D$15-((资产负债表!J6-资产负债表!I6)+(资产负债表!J7-资产负债表!I7)-(资产负债表!J18-资产负债表!I18))</f>
        <v/>
      </c>
      <c r="K4">
        <f>利润表!K21+模型假设!$E$15-((资产负债表!K6-资产负债表!J6)+(资产负债表!K7-资产负债表!J7)-(资产负债表!K18-资产负债表!J18))</f>
        <v/>
      </c>
      <c r="L4">
        <f>利润表!L21+模型假设!$F$15-((资产负债表!L6-资产负债表!K6)+(资产负债表!L7-资产负债表!K7)-(资产负债表!L18-资产负债表!K18))</f>
        <v/>
      </c>
    </row>
    <row r="5">
      <c r="A5" t="inlineStr">
        <is>
          <t>资本开支（Capex）</t>
        </is>
      </c>
      <c r="B5" t="n">
        <v>1.95</v>
      </c>
      <c r="C5" t="n">
        <v>2.45</v>
      </c>
      <c r="D5" t="n">
        <v>2.8</v>
      </c>
      <c r="E5" t="n">
        <v>3.2</v>
      </c>
      <c r="F5" t="n">
        <v>3.85</v>
      </c>
      <c r="G5" t="n">
        <v>4.25</v>
      </c>
      <c r="H5">
        <f>-模型假设!$B$16</f>
        <v/>
      </c>
      <c r="I5">
        <f>-模型假设!$C$16</f>
        <v/>
      </c>
      <c r="J5">
        <f>-模型假设!$D$16</f>
        <v/>
      </c>
      <c r="K5">
        <f>-模型假设!$E$16</f>
        <v/>
      </c>
      <c r="L5">
        <f>-模型假设!$F$16</f>
        <v/>
      </c>
    </row>
    <row r="6">
      <c r="A6" t="inlineStr">
        <is>
          <t>自由现金流（FCFF）</t>
        </is>
      </c>
      <c r="B6" t="n">
        <v>3.77</v>
      </c>
      <c r="C6" t="n">
        <v>4.6</v>
      </c>
      <c r="D6" t="n">
        <v>5.25</v>
      </c>
      <c r="E6" t="n">
        <v>6.050000000000001</v>
      </c>
      <c r="F6" t="n">
        <v>5.29</v>
      </c>
      <c r="G6" t="n">
        <v>6.4</v>
      </c>
      <c r="H6">
        <f>H4+H5</f>
        <v/>
      </c>
      <c r="I6">
        <f>I4+I5</f>
        <v/>
      </c>
      <c r="J6">
        <f>J4+J5</f>
        <v/>
      </c>
      <c r="K6">
        <f>K4+K5</f>
        <v/>
      </c>
      <c r="L6">
        <f>L4+L5</f>
        <v/>
      </c>
    </row>
    <row r="7">
      <c r="A7" t="inlineStr">
        <is>
          <t>投资活动现金流</t>
        </is>
      </c>
    </row>
    <row r="8">
      <c r="A8" t="inlineStr">
        <is>
          <t xml:space="preserve">  投资活动现金流</t>
        </is>
      </c>
      <c r="B8" t="n">
        <v>-1.5</v>
      </c>
      <c r="C8" t="n">
        <v>-1.8</v>
      </c>
      <c r="D8" t="n">
        <v>-2.1</v>
      </c>
      <c r="E8" t="n">
        <v>-2.4</v>
      </c>
      <c r="F8" t="n">
        <v>-2.85</v>
      </c>
      <c r="G8" t="n">
        <v>-3.15</v>
      </c>
      <c r="H8">
        <f>-模型假设!$B$16*0.9</f>
        <v/>
      </c>
      <c r="I8">
        <f>-模型假设!$C$16*0.9</f>
        <v/>
      </c>
      <c r="J8">
        <f>-模型假设!$D$16*0.9</f>
        <v/>
      </c>
      <c r="K8">
        <f>-模型假设!$E$16*0.9</f>
        <v/>
      </c>
      <c r="L8">
        <f>-模型假设!$F$16*0.9</f>
        <v/>
      </c>
    </row>
    <row r="9">
      <c r="A9" t="inlineStr">
        <is>
          <t xml:space="preserve">  筹资活动现金流</t>
        </is>
      </c>
      <c r="B9" t="n">
        <v>-0.21</v>
      </c>
      <c r="C9" t="n">
        <v>-0.32</v>
      </c>
      <c r="D9" t="n">
        <v>-0.45</v>
      </c>
      <c r="E9" t="n">
        <v>-0.58</v>
      </c>
      <c r="F9" t="n">
        <v>-0.72</v>
      </c>
      <c r="G9" t="n">
        <v>-0.85</v>
      </c>
      <c r="H9">
        <f>-利润表!H22*模型假设!$B$22</f>
        <v/>
      </c>
      <c r="I9">
        <f>-利润表!I22*模型假设!$C$22</f>
        <v/>
      </c>
      <c r="J9">
        <f>-利润表!J22*模型假设!$D$22</f>
        <v/>
      </c>
      <c r="K9">
        <f>-利润表!K22*模型假设!$E$22</f>
        <v/>
      </c>
      <c r="L9">
        <f>-利润表!L22*模型假设!$F$22</f>
        <v/>
      </c>
    </row>
    <row r="11">
      <c r="A11" t="inlineStr">
        <is>
          <t>净现金增量</t>
        </is>
      </c>
      <c r="B11" t="n">
        <v>0.1100000000000001</v>
      </c>
      <c r="C11" t="n">
        <v>0.02999999999999986</v>
      </c>
      <c r="D11" t="n">
        <v>-0.09999999999999992</v>
      </c>
      <c r="E11" t="n">
        <v>-0.1299999999999998</v>
      </c>
      <c r="F11" t="n">
        <v>-2.13</v>
      </c>
      <c r="G11" t="n">
        <v>-1.85</v>
      </c>
      <c r="H11">
        <f>H4+H8+H9</f>
        <v/>
      </c>
      <c r="I11">
        <f>I4+I8+I9</f>
        <v/>
      </c>
      <c r="J11">
        <f>J4+J8+J9</f>
        <v/>
      </c>
      <c r="K11">
        <f>K4+K8+K9</f>
        <v/>
      </c>
      <c r="L11">
        <f>L4+L8+L9</f>
        <v/>
      </c>
    </row>
    <row r="12">
      <c r="A12" t="inlineStr">
        <is>
          <t>期初货币资金</t>
        </is>
      </c>
      <c r="C12" t="n">
        <v>5.82</v>
      </c>
      <c r="D12" t="n">
        <v>7.45</v>
      </c>
      <c r="E12" t="n">
        <v>8.92</v>
      </c>
      <c r="F12" t="n">
        <v>9.85</v>
      </c>
      <c r="G12" t="n">
        <v>10.52</v>
      </c>
      <c r="H12">
        <f>G13</f>
        <v/>
      </c>
      <c r="I12">
        <f>H13</f>
        <v/>
      </c>
      <c r="J12">
        <f>I13</f>
        <v/>
      </c>
      <c r="K12">
        <f>J13</f>
        <v/>
      </c>
      <c r="L12">
        <f>K13</f>
        <v/>
      </c>
    </row>
    <row r="13">
      <c r="A13" t="inlineStr">
        <is>
          <t>期末货币资金</t>
        </is>
      </c>
      <c r="B13" t="n">
        <v>5.82</v>
      </c>
      <c r="C13" t="n">
        <v>7.45</v>
      </c>
      <c r="D13" t="n">
        <v>8.92</v>
      </c>
      <c r="E13" t="n">
        <v>9.85</v>
      </c>
      <c r="F13" t="n">
        <v>10.52</v>
      </c>
      <c r="G13" t="n">
        <v>12.15</v>
      </c>
      <c r="H13">
        <f>H12+H11</f>
        <v/>
      </c>
      <c r="I13">
        <f>I12+I11</f>
        <v/>
      </c>
      <c r="J13">
        <f>J12+J11</f>
        <v/>
      </c>
      <c r="K13">
        <f>K12+K11</f>
        <v/>
      </c>
      <c r="L13">
        <f>L12+L11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t="inlineStr">
        <is>
          <t>【利润表_季度】航宇科技（688239.SH）</t>
        </is>
      </c>
    </row>
    <row r="2">
      <c r="A2" t="inlineStr">
        <is>
          <t>E=季节性预测 | 历史=已披露实际数据</t>
        </is>
      </c>
    </row>
    <row r="3">
      <c r="A3" t="inlineStr">
        <is>
          <t>科目</t>
        </is>
      </c>
      <c r="B3" s="2" t="inlineStr">
        <is>
          <t>2024Q1</t>
        </is>
      </c>
      <c r="C3" s="2" t="inlineStr">
        <is>
          <t>2024Q2</t>
        </is>
      </c>
      <c r="D3" s="2" t="inlineStr">
        <is>
          <t>2024Q3</t>
        </is>
      </c>
      <c r="E3" s="2" t="inlineStr">
        <is>
          <t>2024Q4</t>
        </is>
      </c>
      <c r="F3" s="2" t="inlineStr">
        <is>
          <t>2025Q1</t>
        </is>
      </c>
      <c r="G3" s="2" t="inlineStr">
        <is>
          <t>2025Q2</t>
        </is>
      </c>
      <c r="H3" s="2" t="inlineStr">
        <is>
          <t>2025Q3</t>
        </is>
      </c>
      <c r="I3" s="2" t="inlineStr">
        <is>
          <t>2025Q4</t>
        </is>
      </c>
      <c r="J3" s="2" t="inlineStr">
        <is>
          <t>2026Q1E</t>
        </is>
      </c>
      <c r="K3" s="2" t="inlineStr">
        <is>
          <t>2026Q2E</t>
        </is>
      </c>
      <c r="L3" s="2" t="inlineStr">
        <is>
          <t>2026Q3E</t>
        </is>
      </c>
      <c r="M3" s="2" t="inlineStr">
        <is>
          <t>2026Q4E</t>
        </is>
      </c>
    </row>
    <row r="4">
      <c r="A4" t="inlineStr">
        <is>
          <t>营业收入</t>
        </is>
      </c>
      <c r="B4" t="n">
        <v>5.78</v>
      </c>
      <c r="C4" t="n">
        <v>4.92</v>
      </c>
      <c r="D4" t="n">
        <v>4.12</v>
      </c>
      <c r="E4" t="n">
        <v>3.93</v>
      </c>
      <c r="F4" t="n">
        <v>4.22</v>
      </c>
      <c r="G4" t="n">
        <v>4.92</v>
      </c>
      <c r="H4" t="n">
        <v>6.1</v>
      </c>
      <c r="I4" t="n">
        <v>5.1</v>
      </c>
      <c r="J4" t="n">
        <v>5.804640229669033</v>
      </c>
      <c r="K4" t="n">
        <v>5.659104911790421</v>
      </c>
      <c r="L4" t="n">
        <v>5.809721711513686</v>
      </c>
      <c r="M4" t="n">
        <v>5.153125944810792</v>
      </c>
    </row>
    <row r="5">
      <c r="A5" t="inlineStr">
        <is>
          <t>YoY增速</t>
        </is>
      </c>
    </row>
    <row r="6">
      <c r="A6" t="inlineStr">
        <is>
          <t>QoQ增速</t>
        </is>
      </c>
    </row>
    <row r="7">
      <c r="A7" t="inlineStr">
        <is>
          <t>营业成本</t>
        </is>
      </c>
      <c r="B7" t="n">
        <v>-4.1905</v>
      </c>
      <c r="C7" t="n">
        <v>-3.55224</v>
      </c>
      <c r="D7" t="n">
        <v>-2.95816</v>
      </c>
      <c r="E7" t="n">
        <v>-2.80995</v>
      </c>
      <c r="F7" t="n">
        <v>-3.07216</v>
      </c>
      <c r="G7" t="n">
        <v>-3.55224</v>
      </c>
      <c r="H7" t="n">
        <v>-4.361499999999999</v>
      </c>
      <c r="I7" t="n">
        <v>-3.6567</v>
      </c>
      <c r="J7" t="n">
        <v>-4.179340965361703</v>
      </c>
      <c r="K7" t="n">
        <v>-4.074555536489103</v>
      </c>
      <c r="L7" t="n">
        <v>-4.182999632289854</v>
      </c>
      <c r="M7" t="n">
        <v>-3.71025068026377</v>
      </c>
    </row>
    <row r="8">
      <c r="A8" t="inlineStr">
        <is>
          <t>毛利润</t>
        </is>
      </c>
      <c r="B8" t="n">
        <v>1.5895</v>
      </c>
      <c r="C8" t="n">
        <v>1.36776</v>
      </c>
      <c r="D8" t="n">
        <v>1.16184</v>
      </c>
      <c r="E8" t="n">
        <v>1.12005</v>
      </c>
      <c r="F8" t="n">
        <v>1.14784</v>
      </c>
      <c r="G8" t="n">
        <v>1.36776</v>
      </c>
      <c r="H8" t="n">
        <v>1.7385</v>
      </c>
      <c r="I8" t="n">
        <v>1.4433</v>
      </c>
      <c r="J8" t="n">
        <v>1.625299264307329</v>
      </c>
      <c r="K8" t="n">
        <v>1.584549375301318</v>
      </c>
      <c r="L8" t="n">
        <v>1.626722079223832</v>
      </c>
      <c r="M8" t="n">
        <v>1.442875264547022</v>
      </c>
    </row>
    <row r="9">
      <c r="A9" t="inlineStr">
        <is>
          <t>毛利率</t>
        </is>
      </c>
      <c r="B9" t="n">
        <v>0.275</v>
      </c>
      <c r="C9" t="n">
        <v>0.278</v>
      </c>
      <c r="D9" t="n">
        <v>0.282</v>
      </c>
      <c r="E9" t="n">
        <v>0.285</v>
      </c>
      <c r="F9" t="n">
        <v>0.272</v>
      </c>
      <c r="G9" t="n">
        <v>0.278</v>
      </c>
      <c r="H9" t="n">
        <v>0.285</v>
      </c>
      <c r="I9" t="n">
        <v>0.283</v>
      </c>
      <c r="J9" t="n">
        <v>0.28</v>
      </c>
      <c r="K9" t="n">
        <v>0.28</v>
      </c>
      <c r="L9" t="n">
        <v>0.28</v>
      </c>
      <c r="M9" t="n">
        <v>0.28</v>
      </c>
    </row>
    <row r="10">
      <c r="A10" t="inlineStr">
        <is>
          <t>销售费用</t>
        </is>
      </c>
      <c r="B10" t="n">
        <v>-0.1445</v>
      </c>
      <c r="C10" t="n">
        <v>-0.123</v>
      </c>
      <c r="D10" t="n">
        <v>-0.103</v>
      </c>
      <c r="E10" t="n">
        <v>-0.09825</v>
      </c>
      <c r="F10" t="n">
        <v>-0.1055</v>
      </c>
      <c r="G10" t="n">
        <v>-0.123</v>
      </c>
      <c r="H10" t="n">
        <v>-0.1525</v>
      </c>
      <c r="I10" t="n">
        <v>-0.1275</v>
      </c>
      <c r="J10" t="n">
        <v>-0.1451160057417258</v>
      </c>
      <c r="K10" t="n">
        <v>-0.1414776227947605</v>
      </c>
      <c r="L10" t="n">
        <v>-0.1452430427878421</v>
      </c>
      <c r="M10" t="n">
        <v>-0.1288281486202698</v>
      </c>
    </row>
    <row r="11">
      <c r="A11" t="inlineStr">
        <is>
          <t>管理费用</t>
        </is>
      </c>
      <c r="B11" t="n">
        <v>-0.3757</v>
      </c>
      <c r="C11" t="n">
        <v>-0.3198</v>
      </c>
      <c r="D11" t="n">
        <v>-0.2678</v>
      </c>
      <c r="E11" t="n">
        <v>-0.25545</v>
      </c>
      <c r="F11" t="n">
        <v>-0.2743</v>
      </c>
      <c r="G11" t="n">
        <v>-0.3198</v>
      </c>
      <c r="H11" t="n">
        <v>-0.3965</v>
      </c>
      <c r="I11" t="n">
        <v>-0.3315</v>
      </c>
      <c r="J11" t="n">
        <v>-0.3773016149284872</v>
      </c>
      <c r="K11" t="n">
        <v>-0.3678418192663774</v>
      </c>
      <c r="L11" t="n">
        <v>-0.3776319112483896</v>
      </c>
      <c r="M11" t="n">
        <v>-0.3349531864127015</v>
      </c>
    </row>
    <row r="12">
      <c r="A12" t="inlineStr">
        <is>
          <t>研发费用</t>
        </is>
      </c>
      <c r="B12" t="n">
        <v>-0.3468</v>
      </c>
      <c r="C12" t="n">
        <v>-0.2952</v>
      </c>
      <c r="D12" t="n">
        <v>-0.2472</v>
      </c>
      <c r="E12" t="n">
        <v>-0.2358</v>
      </c>
      <c r="F12" t="n">
        <v>-0.2532</v>
      </c>
      <c r="G12" t="n">
        <v>-0.2952</v>
      </c>
      <c r="H12" t="n">
        <v>-0.366</v>
      </c>
      <c r="I12" t="n">
        <v>-0.306</v>
      </c>
      <c r="J12" t="n">
        <v>-0.35988769423948</v>
      </c>
      <c r="K12" t="n">
        <v>-0.3508645045310061</v>
      </c>
      <c r="L12" t="n">
        <v>-0.3602027461138485</v>
      </c>
      <c r="M12" t="n">
        <v>-0.3194938085782691</v>
      </c>
    </row>
    <row r="13">
      <c r="A13" t="inlineStr">
        <is>
          <t>财务费用</t>
        </is>
      </c>
      <c r="B13" t="n">
        <v>-0.0289</v>
      </c>
      <c r="C13" t="n">
        <v>-0.0246</v>
      </c>
      <c r="D13" t="n">
        <v>-0.0206</v>
      </c>
      <c r="E13" t="n">
        <v>-0.01965</v>
      </c>
      <c r="F13" t="n">
        <v>-0.0211</v>
      </c>
      <c r="G13" t="n">
        <v>-0.0246</v>
      </c>
      <c r="H13" t="n">
        <v>-0.0305</v>
      </c>
      <c r="I13" t="n">
        <v>-0.0255</v>
      </c>
      <c r="J13" t="n">
        <v>-0.02902320114834517</v>
      </c>
      <c r="K13" t="n">
        <v>-0.02829552455895211</v>
      </c>
      <c r="L13" t="n">
        <v>-0.02904860855756843</v>
      </c>
      <c r="M13" t="n">
        <v>-0.02576562972405396</v>
      </c>
    </row>
    <row r="15">
      <c r="A15" t="inlineStr">
        <is>
          <t>营业利润</t>
        </is>
      </c>
      <c r="B15" t="n">
        <v>0.92191</v>
      </c>
      <c r="C15" t="n">
        <v>0.7933008</v>
      </c>
      <c r="D15" t="n">
        <v>0.6738672</v>
      </c>
      <c r="E15" t="n">
        <v>0.6496289999999999</v>
      </c>
      <c r="F15" t="n">
        <v>0.6657472</v>
      </c>
      <c r="G15" t="n">
        <v>0.7933008</v>
      </c>
      <c r="H15" t="n">
        <v>1.00833</v>
      </c>
      <c r="I15" t="n">
        <v>0.8371139999999998</v>
      </c>
      <c r="J15" t="n">
        <v>0.942673573298251</v>
      </c>
      <c r="K15" t="n">
        <v>0.9190386376747643</v>
      </c>
      <c r="L15" t="n">
        <v>0.9434988059498226</v>
      </c>
      <c r="M15" t="n">
        <v>0.8368676534372727</v>
      </c>
    </row>
    <row r="17">
      <c r="A17" t="inlineStr">
        <is>
          <t>净利润（合并）</t>
        </is>
      </c>
      <c r="B17" t="n">
        <v>0.5880000000000001</v>
      </c>
      <c r="C17" t="n">
        <v>1.092</v>
      </c>
      <c r="D17" t="n">
        <v>1.5435</v>
      </c>
      <c r="E17" t="n">
        <v>0.4725</v>
      </c>
      <c r="F17" t="n">
        <v>0.4515</v>
      </c>
      <c r="G17" t="n">
        <v>0.5775000000000001</v>
      </c>
      <c r="H17" t="n">
        <v>0.924</v>
      </c>
      <c r="I17" t="n">
        <v>0.546</v>
      </c>
      <c r="J17" t="n">
        <v>0.8837564749671103</v>
      </c>
      <c r="K17" t="n">
        <v>0.8615987228200918</v>
      </c>
      <c r="L17" t="n">
        <v>0.8845301305779587</v>
      </c>
      <c r="M17" t="n">
        <v>0.784563425097443</v>
      </c>
    </row>
    <row r="18">
      <c r="A18" t="inlineStr">
        <is>
          <t>归母净利润</t>
        </is>
      </c>
      <c r="B18" t="n">
        <v>0.5600000000000001</v>
      </c>
      <c r="C18" t="n">
        <v>1.04</v>
      </c>
      <c r="D18" t="n">
        <v>1.47</v>
      </c>
      <c r="E18" t="n">
        <v>0.45</v>
      </c>
      <c r="F18" t="n">
        <v>0.43</v>
      </c>
      <c r="G18" t="n">
        <v>0.55</v>
      </c>
      <c r="H18" t="n">
        <v>0.88</v>
      </c>
      <c r="I18" t="n">
        <v>0.52</v>
      </c>
      <c r="J18" t="n">
        <v>0.8416728333020098</v>
      </c>
      <c r="K18" t="n">
        <v>0.8205702122096111</v>
      </c>
      <c r="L18" t="n">
        <v>0.8424096481694845</v>
      </c>
      <c r="M18" t="n">
        <v>0.7472032619975648</v>
      </c>
    </row>
    <row r="19">
      <c r="A19" t="inlineStr">
        <is>
          <t>归母净利YoY</t>
        </is>
      </c>
    </row>
    <row r="20">
      <c r="A20" t="inlineStr">
        <is>
          <t>归母净利QoQ</t>
        </is>
      </c>
    </row>
    <row r="21">
      <c r="A21" t="inlineStr">
        <is>
          <t>EPS（元）</t>
        </is>
      </c>
      <c r="B21" t="n">
        <v>0.2947368421052632</v>
      </c>
      <c r="C21" t="n">
        <v>0.5473684210526316</v>
      </c>
      <c r="D21" t="n">
        <v>0.7736842105263159</v>
      </c>
      <c r="E21" t="n">
        <v>0.2368421052631579</v>
      </c>
      <c r="F21" t="n">
        <v>0.2263157894736842</v>
      </c>
      <c r="G21" t="n">
        <v>0.2894736842105263</v>
      </c>
      <c r="H21" t="n">
        <v>0.4631578947368421</v>
      </c>
      <c r="I21" t="n">
        <v>0.2736842105263158</v>
      </c>
      <c r="J21" t="n">
        <v>0.4429857017378999</v>
      </c>
      <c r="K21" t="n">
        <v>0.4318790590576901</v>
      </c>
      <c r="L21" t="n">
        <v>0.4433734990365708</v>
      </c>
      <c r="M21" t="n">
        <v>0.3932648747355604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【基本面研究】航宇科技（688239.SH）</t>
        </is>
      </c>
    </row>
    <row r="2">
      <c r="A2" t="inlineStr">
        <is>
          <t>数据截至：2026-04-07</t>
        </is>
      </c>
    </row>
    <row r="4">
      <c r="A4" t="inlineStr">
        <is>
          <t>▌ 评分汇总</t>
        </is>
      </c>
    </row>
    <row r="5">
      <c r="A5" s="2" t="inlineStr">
        <is>
          <t>维度</t>
        </is>
      </c>
      <c r="B5" t="inlineStr">
        <is>
          <t>权重</t>
        </is>
      </c>
      <c r="C5" t="inlineStr">
        <is>
          <t>分值</t>
        </is>
      </c>
      <c r="D5" t="inlineStr">
        <is>
          <t>加权分</t>
        </is>
      </c>
    </row>
    <row r="6">
      <c r="A6" t="inlineStr">
        <is>
          <t>A. 行业质量</t>
        </is>
      </c>
      <c r="B6" t="inlineStr">
        <is>
          <t>25%</t>
        </is>
      </c>
      <c r="C6" t="inlineStr">
        <is>
          <t>3.8</t>
        </is>
      </c>
      <c r="D6" s="5">
        <f>B6*C6</f>
        <v/>
      </c>
    </row>
    <row r="7">
      <c r="A7" t="inlineStr">
        <is>
          <t>B. 竞争壁垒</t>
        </is>
      </c>
      <c r="B7" t="inlineStr">
        <is>
          <t>25%</t>
        </is>
      </c>
      <c r="C7" t="inlineStr">
        <is>
          <t>3.5</t>
        </is>
      </c>
      <c r="D7" s="5">
        <f>B7*C7</f>
        <v/>
      </c>
    </row>
    <row r="8">
      <c r="A8" t="inlineStr">
        <is>
          <t>C. 增长能见度</t>
        </is>
      </c>
      <c r="B8" t="inlineStr">
        <is>
          <t>25%</t>
        </is>
      </c>
      <c r="C8" t="inlineStr">
        <is>
          <t>3.5</t>
        </is>
      </c>
      <c r="D8" s="5">
        <f>B8*C8</f>
        <v/>
      </c>
    </row>
    <row r="9">
      <c r="A9" t="inlineStr">
        <is>
          <t>D. 财务质量</t>
        </is>
      </c>
      <c r="B9" t="inlineStr">
        <is>
          <t>15%</t>
        </is>
      </c>
      <c r="C9" t="inlineStr">
        <is>
          <t>3.2</t>
        </is>
      </c>
      <c r="D9" s="5">
        <f>B9*C9</f>
        <v/>
      </c>
    </row>
    <row r="10">
      <c r="A10" t="inlineStr">
        <is>
          <t>E. 公司治理</t>
        </is>
      </c>
      <c r="B10" t="inlineStr">
        <is>
          <t>10%</t>
        </is>
      </c>
      <c r="C10" t="inlineStr">
        <is>
          <t>3.5</t>
        </is>
      </c>
      <c r="D10" s="5">
        <f>B10*C10</f>
        <v/>
      </c>
    </row>
    <row r="11">
      <c r="A11" t="inlineStr">
        <is>
          <t>★ 综合质量得分</t>
        </is>
      </c>
      <c r="D11" s="6">
        <f>SUM(D6:D10)</f>
        <v/>
      </c>
    </row>
    <row r="13">
      <c r="A13" t="inlineStr">
        <is>
          <t>★ 投资质量等级</t>
        </is>
      </c>
    </row>
    <row r="14">
      <c r="A14" t="inlineStr">
        <is>
          <t>&gt; 3.8 = A档（优秀）| 3.0-3.8 = B档（良好）| &lt; 3.0 = C档（一般）</t>
        </is>
      </c>
    </row>
    <row r="15">
      <c r="A15" t="inlineStr">
        <is>
          <t>综合得分：3.5 → B档（良好）</t>
        </is>
      </c>
    </row>
    <row r="17">
      <c r="A17" t="inlineStr">
        <is>
          <t>▌ A. 行业质量详细评分（权重25%）</t>
        </is>
      </c>
    </row>
    <row r="18">
      <c r="A18" t="inlineStr">
        <is>
          <t>子维度</t>
        </is>
      </c>
      <c r="B18" t="inlineStr">
        <is>
          <t>权重</t>
        </is>
      </c>
      <c r="C18" t="inlineStr">
        <is>
          <t>得分</t>
        </is>
      </c>
      <c r="D18" t="inlineStr">
        <is>
          <t>评分依据</t>
        </is>
      </c>
    </row>
    <row r="19">
      <c r="A19" t="inlineStr">
        <is>
          <t>行业规模（TAM）</t>
        </is>
      </c>
      <c r="B19" t="inlineStr">
        <is>
          <t>5%</t>
        </is>
      </c>
      <c r="C19" t="n">
        <v>4</v>
      </c>
      <c r="D19" t="inlineStr">
        <is>
          <t>中国航空航天核心产业规模突破2万亿元</t>
        </is>
      </c>
    </row>
    <row r="20">
      <c r="A20" t="inlineStr">
        <is>
          <t>行业增速（未来5年CAGR）</t>
        </is>
      </c>
      <c r="B20" t="inlineStr">
        <is>
          <t>5%</t>
        </is>
      </c>
      <c r="C20" t="n">
        <v>4</v>
      </c>
      <c r="D20" t="inlineStr">
        <is>
          <t>商业航天CAGR~20%，低空经济CAGR超20%</t>
        </is>
      </c>
    </row>
    <row r="21">
      <c r="A21" t="inlineStr">
        <is>
          <t>行业延展性</t>
        </is>
      </c>
      <c r="B21" t="inlineStr">
        <is>
          <t>5%</t>
        </is>
      </c>
      <c r="C21" t="n">
        <v>4</v>
      </c>
      <c r="D21" t="inlineStr">
        <is>
          <t>C919/ARJ21放量，商业航天/卫星互联网打开空间</t>
        </is>
      </c>
    </row>
    <row r="22">
      <c r="A22" t="inlineStr">
        <is>
          <t>行业透明度</t>
        </is>
      </c>
      <c r="B22" t="inlineStr">
        <is>
          <t>5%</t>
        </is>
      </c>
      <c r="C22" t="n">
        <v>3.5</v>
      </c>
      <c r="D22" t="inlineStr">
        <is>
          <t>竞争格局有序，环形锻件CR3高</t>
        </is>
      </c>
    </row>
    <row r="23">
      <c r="A23" t="inlineStr">
        <is>
          <t>政策友好度</t>
        </is>
      </c>
      <c r="B23" t="inlineStr">
        <is>
          <t>5%</t>
        </is>
      </c>
      <c r="C23" t="n">
        <v>4</v>
      </c>
      <c r="D23" t="inlineStr">
        <is>
          <t>国防预算+7.2%，军民融合政策持续推进</t>
        </is>
      </c>
    </row>
    <row r="26">
      <c r="A26" t="inlineStr">
        <is>
          <t>▌ B. 竞争壁垒详细评分（权重25%）</t>
        </is>
      </c>
    </row>
    <row r="27">
      <c r="A27" t="inlineStr">
        <is>
          <t>子维度</t>
        </is>
      </c>
      <c r="B27" t="inlineStr">
        <is>
          <t>权重</t>
        </is>
      </c>
      <c r="C27" t="inlineStr">
        <is>
          <t>得分</t>
        </is>
      </c>
      <c r="D27" t="inlineStr">
        <is>
          <t>评分依据</t>
        </is>
      </c>
    </row>
    <row r="28">
      <c r="A28" t="inlineStr">
        <is>
          <t>技术壁垒</t>
        </is>
      </c>
      <c r="B28" t="inlineStr">
        <is>
          <t>5%</t>
        </is>
      </c>
      <c r="C28" t="n">
        <v>4</v>
      </c>
      <c r="D28" t="inlineStr">
        <is>
          <t>NSP技术获全球航空龙头认证，节省原材料20-50%</t>
        </is>
      </c>
    </row>
    <row r="29">
      <c r="A29" t="inlineStr">
        <is>
          <t>定价权</t>
        </is>
      </c>
      <c r="B29" t="inlineStr">
        <is>
          <t>5%</t>
        </is>
      </c>
      <c r="C29" t="n">
        <v>3.5</v>
      </c>
      <c r="D29" t="inlineStr">
        <is>
          <t>毛利率28%稳定，NSP推广有提升空间</t>
        </is>
      </c>
    </row>
    <row r="30">
      <c r="A30" t="inlineStr">
        <is>
          <t>垄断地位</t>
        </is>
      </c>
      <c r="B30" t="inlineStr">
        <is>
          <t>5%</t>
        </is>
      </c>
      <c r="C30" t="n">
        <v>4</v>
      </c>
      <c r="D30" t="inlineStr">
        <is>
          <t>国内航空环形锻件龙头，全球三强之一</t>
        </is>
      </c>
    </row>
    <row r="31">
      <c r="A31" t="inlineStr">
        <is>
          <t>客户粘性</t>
        </is>
      </c>
      <c r="B31" t="inlineStr">
        <is>
          <t>5%</t>
        </is>
      </c>
      <c r="C31" t="n">
        <v>4</v>
      </c>
      <c r="D31" t="inlineStr">
        <is>
          <t>GE/赛峰/罗罗/普惠认证，客户转换成本极高</t>
        </is>
      </c>
    </row>
    <row r="32">
      <c r="A32" t="inlineStr">
        <is>
          <t>进入壁垒</t>
        </is>
      </c>
      <c r="B32" t="inlineStr">
        <is>
          <t>5%</t>
        </is>
      </c>
      <c r="C32" t="n">
        <v>3</v>
      </c>
      <c r="D32" t="inlineStr">
        <is>
          <t>航空锻件资质认证3-5年，有一定壁垒</t>
        </is>
      </c>
    </row>
    <row r="33">
      <c r="A33" t="inlineStr">
        <is>
          <t>供应商议价</t>
        </is>
      </c>
      <c r="B33" t="inlineStr">
        <is>
          <t>5%</t>
        </is>
      </c>
      <c r="C33" t="n">
        <v>3</v>
      </c>
      <c r="D33" t="inlineStr">
        <is>
          <t>高温合金供应商分散，议价能力中</t>
        </is>
      </c>
    </row>
    <row r="34">
      <c r="A34" t="inlineStr">
        <is>
          <t>客户集中度</t>
        </is>
      </c>
      <c r="B34" t="inlineStr">
        <is>
          <t>5%</t>
        </is>
      </c>
      <c r="C34" t="n">
        <v>3</v>
      </c>
      <c r="D34" t="inlineStr">
        <is>
          <t>商发占比85-90%，集中度偏高</t>
        </is>
      </c>
    </row>
    <row r="35">
      <c r="A35" t="inlineStr">
        <is>
          <t>替代品威胁</t>
        </is>
      </c>
      <c r="B35" t="inlineStr">
        <is>
          <t>5%</t>
        </is>
      </c>
      <c r="C35" t="n">
        <v>3.5</v>
      </c>
      <c r="D35" t="inlineStr">
        <is>
          <t>无明显替代品，技术替代风险低</t>
        </is>
      </c>
    </row>
    <row r="38">
      <c r="A38" t="inlineStr">
        <is>
          <t>▌ C. 增长能见度详细评分（权重25%）</t>
        </is>
      </c>
    </row>
    <row r="39">
      <c r="A39" t="inlineStr">
        <is>
          <t>子维度</t>
        </is>
      </c>
      <c r="B39" t="inlineStr">
        <is>
          <t>权重</t>
        </is>
      </c>
      <c r="C39" t="inlineStr">
        <is>
          <t>得分</t>
        </is>
      </c>
      <c r="D39" t="inlineStr">
        <is>
          <t>评分依据</t>
        </is>
      </c>
    </row>
    <row r="40">
      <c r="A40" t="inlineStr">
        <is>
          <t>在手订单充裕度</t>
        </is>
      </c>
      <c r="B40" t="inlineStr">
        <is>
          <t>8%</t>
        </is>
      </c>
      <c r="C40" t="n">
        <v>4.5</v>
      </c>
      <c r="D40" t="inlineStr">
        <is>
          <t>在手订单60亿元，覆盖2026-2027年</t>
        </is>
      </c>
    </row>
    <row r="41">
      <c r="A41" t="inlineStr">
        <is>
          <t>产能爬坡</t>
        </is>
      </c>
      <c r="B41" t="inlineStr">
        <is>
          <t>7%</t>
        </is>
      </c>
      <c r="C41" t="n">
        <v>3.5</v>
      </c>
      <c r="D41" t="inlineStr">
        <is>
          <t>贵阳70-80%，德阳新投产，匈牙利规划中</t>
        </is>
      </c>
    </row>
    <row r="42">
      <c r="A42" t="inlineStr">
        <is>
          <t>新需求开拓</t>
        </is>
      </c>
      <c r="B42" t="inlineStr">
        <is>
          <t>5%</t>
        </is>
      </c>
      <c r="C42" t="n">
        <v>4</v>
      </c>
      <c r="D42" t="inlineStr">
        <is>
          <t>燃气轮机/核电/半导体设备打开新空间</t>
        </is>
      </c>
    </row>
    <row r="43">
      <c r="A43" t="inlineStr">
        <is>
          <t>生命周期</t>
        </is>
      </c>
      <c r="B43" t="inlineStr">
        <is>
          <t>5%</t>
        </is>
      </c>
      <c r="C43" t="n">
        <v>3</v>
      </c>
      <c r="D43" t="inlineStr">
        <is>
          <t>成长期中段，国内交付节奏波动影响短期</t>
        </is>
      </c>
    </row>
    <row r="46">
      <c r="A46" t="inlineStr">
        <is>
          <t>▌ D. 财务质量详细评分（权重15%）</t>
        </is>
      </c>
    </row>
    <row r="47">
      <c r="A47" t="inlineStr">
        <is>
          <t>子维度</t>
        </is>
      </c>
      <c r="B47" t="inlineStr">
        <is>
          <t>权重</t>
        </is>
      </c>
      <c r="C47" t="inlineStr">
        <is>
          <t>得分</t>
        </is>
      </c>
      <c r="D47" t="inlineStr">
        <is>
          <t>评分依据</t>
        </is>
      </c>
    </row>
    <row r="48">
      <c r="A48" t="inlineStr">
        <is>
          <t>CFO/净利润</t>
        </is>
      </c>
      <c r="B48" t="inlineStr">
        <is>
          <t>4%</t>
        </is>
      </c>
      <c r="C48" t="n">
        <v>3</v>
      </c>
      <c r="D48" t="inlineStr">
        <is>
          <t>2024年经营现金流1.44亿/净利1.89亿=76%</t>
        </is>
      </c>
    </row>
    <row r="49">
      <c r="A49" t="inlineStr">
        <is>
          <t>ROE趋势</t>
        </is>
      </c>
      <c r="B49" t="inlineStr">
        <is>
          <t>4%</t>
        </is>
      </c>
      <c r="C49" t="n">
        <v>3</v>
      </c>
      <c r="D49" t="inlineStr">
        <is>
          <t>ROE 9.87%属中等，2025年略降至9.76%</t>
        </is>
      </c>
    </row>
    <row r="50">
      <c r="A50" t="inlineStr">
        <is>
          <t>负债率</t>
        </is>
      </c>
      <c r="B50" t="inlineStr">
        <is>
          <t>3%</t>
        </is>
      </c>
      <c r="C50" t="n">
        <v>3.5</v>
      </c>
      <c r="D50" t="inlineStr">
        <is>
          <t>资产负债率~50%，可控</t>
        </is>
      </c>
    </row>
    <row r="51">
      <c r="A51" t="inlineStr">
        <is>
          <t>运营效率</t>
        </is>
      </c>
      <c r="B51" t="inlineStr">
        <is>
          <t>3%</t>
        </is>
      </c>
      <c r="C51" t="n">
        <v>3</v>
      </c>
      <c r="D51" t="inlineStr">
        <is>
          <t>应收账款+存货周转天数边际恶化</t>
        </is>
      </c>
    </row>
    <row r="52">
      <c r="A52" t="inlineStr">
        <is>
          <t>股东回报</t>
        </is>
      </c>
      <c r="B52" t="inlineStr">
        <is>
          <t>1%</t>
        </is>
      </c>
      <c r="C52" t="n">
        <v>3</v>
      </c>
      <c r="D52" t="inlineStr">
        <is>
          <t>股息支付率15%，有回购</t>
        </is>
      </c>
    </row>
    <row r="55">
      <c r="A55" t="inlineStr">
        <is>
          <t>▌ E. 公司治理详细评分（权重10%）</t>
        </is>
      </c>
    </row>
    <row r="56">
      <c r="A56" t="inlineStr">
        <is>
          <t>子维度</t>
        </is>
      </c>
      <c r="B56" t="inlineStr">
        <is>
          <t>权重</t>
        </is>
      </c>
      <c r="C56" t="inlineStr">
        <is>
          <t>得分</t>
        </is>
      </c>
      <c r="D56" t="inlineStr">
        <is>
          <t>评分依据</t>
        </is>
      </c>
    </row>
    <row r="57">
      <c r="A57" t="inlineStr">
        <is>
          <t>管理层能力</t>
        </is>
      </c>
      <c r="B57" t="inlineStr">
        <is>
          <t>4%</t>
        </is>
      </c>
      <c r="C57" t="n">
        <v>3.5</v>
      </c>
      <c r="D57" t="inlineStr">
        <is>
          <t>战略清晰，国际化布局领先</t>
        </is>
      </c>
    </row>
    <row r="58">
      <c r="A58" t="inlineStr">
        <is>
          <t>诚信度</t>
        </is>
      </c>
      <c r="B58" t="inlineStr">
        <is>
          <t>3%</t>
        </is>
      </c>
      <c r="C58" t="n">
        <v>3.5</v>
      </c>
      <c r="D58" t="inlineStr">
        <is>
          <t>无明显诚信问题记录</t>
        </is>
      </c>
    </row>
    <row r="59">
      <c r="A59" t="inlineStr">
        <is>
          <t>股权结构</t>
        </is>
      </c>
      <c r="B59" t="inlineStr">
        <is>
          <t>3%</t>
        </is>
      </c>
      <c r="C59" t="n">
        <v>3.5</v>
      </c>
      <c r="D59" t="inlineStr">
        <is>
          <t>民营控股，张华持股13.78%，股权相对分散</t>
        </is>
      </c>
    </row>
    <row r="62">
      <c r="A62" t="inlineStr">
        <is>
          <t>▌ 综合结论</t>
        </is>
      </c>
    </row>
    <row r="63">
      <c r="A63" t="inlineStr">
        <is>
          <t>投资建议：军工航空环形锻件稀缺龙头，订单充裕保障中期业绩，中性偏乐观</t>
        </is>
      </c>
    </row>
    <row r="64">
      <c r="A64" t="inlineStr">
        <is>
          <t>核心亮点：①全球市场份额提升逻辑清晰（目标20-30%）②在手订单60亿保障③NSP技术竞争力强</t>
        </is>
      </c>
    </row>
    <row r="65">
      <c r="A65" t="inlineStr">
        <is>
          <t>核心风险：①国内交付节奏波动 ②子公司亏损拖累 ③估值偏高(PE 55x)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【估值分析】航宇科技（688239.SH）</t>
        </is>
      </c>
    </row>
    <row r="2">
      <c r="A2" t="inlineStr">
        <is>
          <t>报告日期：2026-04-07 | 当前股价：54.14元</t>
        </is>
      </c>
    </row>
    <row r="4">
      <c r="A4" t="inlineStr">
        <is>
          <t>▌ PE 估值法</t>
        </is>
      </c>
    </row>
    <row r="5">
      <c r="A5" t="inlineStr"/>
      <c r="B5" t="inlineStr">
        <is>
          <t>2024A</t>
        </is>
      </c>
      <c r="C5" t="inlineStr">
        <is>
          <t>2025A</t>
        </is>
      </c>
      <c r="D5" t="inlineStr">
        <is>
          <t>2026E</t>
        </is>
      </c>
      <c r="E5" t="inlineStr">
        <is>
          <t>2027E</t>
        </is>
      </c>
      <c r="F5" t="inlineStr">
        <is>
          <t>2028E</t>
        </is>
      </c>
    </row>
    <row r="6">
      <c r="A6" t="inlineStr">
        <is>
          <t>EPS（元）</t>
        </is>
      </c>
      <c r="B6" t="n">
        <v>1.3</v>
      </c>
      <c r="C6" t="n">
        <v>0.98</v>
      </c>
      <c r="D6">
        <f>利润表!H25</f>
        <v/>
      </c>
      <c r="E6">
        <f>利润表!I25</f>
        <v/>
      </c>
      <c r="F6">
        <f>利润表!J25</f>
        <v/>
      </c>
    </row>
    <row r="7">
      <c r="A7" t="inlineStr">
        <is>
          <t>PE倍数</t>
        </is>
      </c>
      <c r="B7" t="n">
        <v>41.6</v>
      </c>
      <c r="C7" t="n">
        <v>55.2</v>
      </c>
      <c r="D7" t="n">
        <v>40</v>
      </c>
      <c r="E7" t="n">
        <v>35</v>
      </c>
      <c r="F7" t="n">
        <v>30</v>
      </c>
    </row>
    <row r="8">
      <c r="A8" t="inlineStr">
        <is>
          <t>目标股价</t>
        </is>
      </c>
      <c r="B8" t="n">
        <v>54.1</v>
      </c>
      <c r="C8" t="n">
        <v>54.1</v>
      </c>
      <c r="D8">
        <f>D6*D7</f>
        <v/>
      </c>
      <c r="E8">
        <f>E6*E7</f>
        <v/>
      </c>
      <c r="F8">
        <f>F6*F7</f>
        <v/>
      </c>
    </row>
    <row r="10">
      <c r="A10" t="inlineStr">
        <is>
          <t>▌ PEGY 估值法</t>
        </is>
      </c>
    </row>
    <row r="11">
      <c r="A11" t="inlineStr">
        <is>
          <t>FY1E EPS</t>
        </is>
      </c>
      <c r="D11">
        <f>D6</f>
        <v/>
      </c>
    </row>
    <row r="12">
      <c r="A12" t="inlineStr">
        <is>
          <t>FY1E PE（当前）</t>
        </is>
      </c>
      <c r="D12" t="n">
        <v>55.2</v>
      </c>
    </row>
    <row r="13">
      <c r="A13" t="inlineStr">
        <is>
          <t>净利润增速（FY1）</t>
        </is>
      </c>
      <c r="D13" t="n">
        <v>0.715</v>
      </c>
    </row>
    <row r="14">
      <c r="A14" t="inlineStr">
        <is>
          <t>股息率（TTM）</t>
        </is>
      </c>
      <c r="D14" t="n">
        <v>0.028</v>
      </c>
    </row>
    <row r="15">
      <c r="A15" t="inlineStr">
        <is>
          <t>PEG</t>
        </is>
      </c>
      <c r="D15">
        <f>D12/D13</f>
        <v/>
      </c>
    </row>
    <row r="16">
      <c r="A16" t="inlineStr">
        <is>
          <t>PEGY</t>
        </is>
      </c>
      <c r="D16">
        <f>D12/(D13+D14)</f>
        <v/>
      </c>
    </row>
    <row r="17">
      <c r="A17" t="inlineStr">
        <is>
          <t>合理PEGY区间</t>
        </is>
      </c>
      <c r="D17" t="inlineStr">
        <is>
          <t>0.8-1.2x</t>
        </is>
      </c>
    </row>
    <row r="18">
      <c r="A18" t="inlineStr">
        <is>
          <t>PEGY隐含目标价</t>
        </is>
      </c>
      <c r="D18">
        <f>D6*(D13+D14)*1.0</f>
        <v/>
      </c>
    </row>
    <row r="20">
      <c r="A20" t="inlineStr">
        <is>
          <t>▌ 估值汇总</t>
        </is>
      </c>
    </row>
    <row r="21">
      <c r="A21" t="inlineStr">
        <is>
          <t>方法</t>
        </is>
      </c>
      <c r="B21" t="inlineStr">
        <is>
          <t>目标价（元）</t>
        </is>
      </c>
      <c r="C21" t="inlineStr">
        <is>
          <t>当前股价（元）</t>
        </is>
      </c>
      <c r="D21" t="inlineStr">
        <is>
          <t>上行空间</t>
        </is>
      </c>
    </row>
    <row r="22">
      <c r="A22" t="inlineStr">
        <is>
          <t>PE法（2026E 40x）</t>
        </is>
      </c>
      <c r="B22" t="n">
        <v>66.8</v>
      </c>
      <c r="C22" t="n">
        <v>54.14</v>
      </c>
      <c r="D22">
        <f>(B22-C22)/C22</f>
        <v/>
      </c>
    </row>
    <row r="23">
      <c r="A23" t="inlineStr">
        <is>
          <t>PE法（2027E 35x）</t>
        </is>
      </c>
      <c r="B23" t="n">
        <v>77.40000000000001</v>
      </c>
      <c r="C23" t="n">
        <v>54.14</v>
      </c>
      <c r="D23">
        <f>(B23-C23)/C23</f>
        <v/>
      </c>
    </row>
    <row r="24">
      <c r="A24" t="inlineStr">
        <is>
          <t>PE法（2028E 30x）</t>
        </is>
      </c>
      <c r="B24" t="n">
        <v>81.59999999999999</v>
      </c>
      <c r="C24" t="n">
        <v>54.14</v>
      </c>
      <c r="D24">
        <f>(B24-C24)/C24</f>
        <v/>
      </c>
    </row>
    <row r="25">
      <c r="A25" t="inlineStr">
        <is>
          <t>PEGY法</t>
        </is>
      </c>
      <c r="B25">
        <f>D18</f>
        <v/>
      </c>
      <c r="C25" t="n">
        <v>54.14</v>
      </c>
      <c r="D25">
        <f>(B25-C25)/C25</f>
        <v/>
      </c>
    </row>
    <row r="26">
      <c r="A26" t="inlineStr">
        <is>
          <t>分析师平均</t>
        </is>
      </c>
      <c r="B26" t="n">
        <v>68</v>
      </c>
      <c r="C26" t="n">
        <v>54.14</v>
      </c>
      <c r="D26">
        <f>(B26-C26)/C26</f>
        <v/>
      </c>
    </row>
    <row r="28">
      <c r="A28" s="2" t="inlineStr">
        <is>
          <t>★ 综合估值结论</t>
        </is>
      </c>
    </row>
    <row r="29">
      <c r="A29" t="inlineStr">
        <is>
          <t>目标价区间：64-72元（基于2026E PE 40-45x）</t>
        </is>
      </c>
    </row>
    <row r="30">
      <c r="A30" t="inlineStr">
        <is>
          <t>上行空间：+18%~+33%</t>
        </is>
      </c>
    </row>
    <row r="31">
      <c r="A31" t="inlineStr">
        <is>
          <t>投资评级：中性偏乐观（边际改善）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2026-04-07T16:18:58Z</dcterms:created>
  <dcterms:modified xmlns:dcterms="http://purl.org/dc/terms/" xmlns:xsi="http://www.w3.org/2001/XMLSchema-instance" xsi:type="dcterms:W3CDTF">2026-04-07T16:18:58Z</dcterms:modified>
</cp:coreProperties>
</file>